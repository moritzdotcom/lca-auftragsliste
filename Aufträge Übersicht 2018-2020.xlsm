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4470D2CD-2249-CD33-4A35-6F278624656F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moritz/code/moritzdotcom/lca-auftragsliste/"/>
    </mc:Choice>
  </mc:AlternateContent>
  <xr:revisionPtr revIDLastSave="0" documentId="8_{B6C5C82F-63BF-CD43-85D8-42C8F84363C4}" xr6:coauthVersionLast="45" xr6:coauthVersionMax="45" xr10:uidLastSave="{00000000-0000-0000-0000-000000000000}"/>
  <workbookProtection lockStructure="1"/>
  <bookViews>
    <workbookView xWindow="-35200" yWindow="2100" windowWidth="28800" windowHeight="17540" firstSheet="3" activeTab="4" xr2:uid="{00000000-000D-0000-FFFF-FFFF00000000}"/>
  </bookViews>
  <sheets>
    <sheet name="Kopie" sheetId="5" r:id="rId1"/>
    <sheet name="Tabelle2" sheetId="2" r:id="rId2"/>
    <sheet name="Objekt Aufstellung" sheetId="3" r:id="rId3"/>
    <sheet name="Auftrag Intern" sheetId="7" r:id="rId4"/>
    <sheet name="Auftrag Extern" sheetId="8" r:id="rId5"/>
    <sheet name="Kalender" sheetId="9" r:id="rId6"/>
    <sheet name="Aufträge 2018-2020" sheetId="1" r:id="rId7"/>
  </sheets>
  <definedNames>
    <definedName name="_xlnm._FilterDatabase" localSheetId="4" hidden="1">'Auftrag Extern'!$A$56:$I$56</definedName>
    <definedName name="_xlnm._FilterDatabase" localSheetId="3" hidden="1">'Auftrag Intern'!$A$56:$I$56</definedName>
    <definedName name="_xlnm._FilterDatabase" localSheetId="6" hidden="1">'Aufträge 2018-2020'!$A$1:$J$1166</definedName>
    <definedName name="_xlnm._FilterDatabase" localSheetId="0" hidden="1">Kopie!$A$1:$J$1110</definedName>
    <definedName name="_xlnm._FilterDatabase" localSheetId="2" hidden="1">'Objekt Aufstellung'!$A$1:$B$1</definedName>
    <definedName name="_xlnm._FilterDatabase" localSheetId="1" hidden="1">Tabelle2!$A$1:$E$1</definedName>
    <definedName name="_xlnm.Print_Area" localSheetId="4">'Auftrag Extern'!$A$1:$I$42</definedName>
    <definedName name="_xlnm.Print_Area" localSheetId="3">'Auftrag Intern'!$A$1:$I$38</definedName>
    <definedName name="_xlnm.Print_Area" localSheetId="6">'Aufträge 2018-2020'!$A$1:$J$404</definedName>
    <definedName name="_xlnm.Print_Area" localSheetId="0">Kopie!$A$1:$J$404</definedName>
    <definedName name="_xlnm.Print_Titles" localSheetId="6">'Aufträge 2018-2020'!$1:$1</definedName>
    <definedName name="_xlnm.Print_Titles" localSheetId="0">Kopie!$1:$1</definedName>
  </definedNames>
  <calcPr calcId="191028"/>
</workbook>
</file>

<file path=xl/calcChain.xml><?xml version="1.0" encoding="utf-8"?>
<calcChain xmlns="http://schemas.openxmlformats.org/spreadsheetml/2006/main">
  <c r="M20" i="8" l="1"/>
  <c r="D1080" i="1" l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79" i="1" l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070" i="1"/>
  <c r="D1071" i="1"/>
  <c r="D1072" i="1"/>
  <c r="D1073" i="1"/>
  <c r="D1074" i="1"/>
  <c r="D1075" i="1"/>
  <c r="D1076" i="1"/>
  <c r="D1077" i="1"/>
  <c r="D1078" i="1"/>
  <c r="D1058" i="1" l="1"/>
  <c r="D1059" i="1"/>
  <c r="D1060" i="1"/>
  <c r="D1061" i="1"/>
  <c r="D1062" i="1"/>
  <c r="D1063" i="1"/>
  <c r="D1064" i="1"/>
  <c r="D1065" i="1"/>
  <c r="D1066" i="1"/>
  <c r="D1067" i="1"/>
  <c r="D1068" i="1"/>
  <c r="D1069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43" i="1"/>
  <c r="D1044" i="1"/>
  <c r="D1045" i="1"/>
  <c r="D1006" i="1" l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01" i="1" l="1"/>
  <c r="D1002" i="1"/>
  <c r="D1003" i="1"/>
  <c r="D1004" i="1"/>
  <c r="D1005" i="1"/>
  <c r="D983" i="1" l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975" i="1" l="1"/>
  <c r="D969" i="1" l="1"/>
  <c r="D966" i="1" l="1"/>
  <c r="D967" i="1"/>
  <c r="D968" i="1"/>
  <c r="D970" i="1"/>
  <c r="D971" i="1"/>
  <c r="D972" i="1"/>
  <c r="D973" i="1"/>
  <c r="D974" i="1"/>
  <c r="D976" i="1"/>
  <c r="D977" i="1"/>
  <c r="D978" i="1"/>
  <c r="D979" i="1"/>
  <c r="D980" i="1"/>
  <c r="D981" i="1"/>
  <c r="D982" i="1"/>
  <c r="D935" i="1" l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26" i="1" l="1"/>
  <c r="D927" i="1"/>
  <c r="D928" i="1"/>
  <c r="D929" i="1"/>
  <c r="D930" i="1"/>
  <c r="D931" i="1"/>
  <c r="D932" i="1"/>
  <c r="D933" i="1"/>
  <c r="D934" i="1"/>
  <c r="D907" i="1" l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891" i="1" l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870" i="1" l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56" i="1" l="1"/>
  <c r="D857" i="1" l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29" i="1" l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B6" i="7" l="1"/>
  <c r="E7" i="7"/>
  <c r="B7" i="7"/>
  <c r="B7" i="8"/>
  <c r="D815" i="1" l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798" i="1" l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I9" i="8" l="1"/>
  <c r="D795" i="1" l="1"/>
  <c r="D796" i="1"/>
  <c r="D797" i="1"/>
  <c r="D789" i="1" l="1"/>
  <c r="D790" i="1"/>
  <c r="D791" i="1"/>
  <c r="D792" i="1"/>
  <c r="D793" i="1"/>
  <c r="D794" i="1"/>
  <c r="D780" i="1" l="1"/>
  <c r="D781" i="1"/>
  <c r="D782" i="1"/>
  <c r="D784" i="1"/>
  <c r="D785" i="1"/>
  <c r="D786" i="1"/>
  <c r="D787" i="1"/>
  <c r="D788" i="1"/>
  <c r="D773" i="1" l="1"/>
  <c r="D774" i="1"/>
  <c r="D775" i="1"/>
  <c r="D776" i="1"/>
  <c r="D777" i="1"/>
  <c r="D778" i="1"/>
  <c r="D779" i="1"/>
  <c r="D754" i="1"/>
  <c r="D755" i="1"/>
  <c r="D756" i="1"/>
  <c r="D746" i="1" l="1"/>
  <c r="A12" i="7" l="1"/>
  <c r="D738" i="1" l="1"/>
  <c r="D739" i="1"/>
  <c r="D740" i="1"/>
  <c r="D741" i="1"/>
  <c r="D742" i="1"/>
  <c r="D743" i="1"/>
  <c r="D744" i="1"/>
  <c r="D745" i="1"/>
  <c r="D747" i="1"/>
  <c r="D748" i="1"/>
  <c r="D749" i="1"/>
  <c r="D750" i="1"/>
  <c r="D751" i="1"/>
  <c r="D752" i="1"/>
  <c r="D753" i="1"/>
  <c r="D757" i="1"/>
  <c r="D758" i="1"/>
  <c r="D759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16" i="1" l="1"/>
  <c r="D729" i="1" l="1"/>
  <c r="D730" i="1"/>
  <c r="D731" i="1"/>
  <c r="D732" i="1"/>
  <c r="D733" i="1"/>
  <c r="D734" i="1"/>
  <c r="D735" i="1"/>
  <c r="D736" i="1"/>
  <c r="D737" i="1"/>
  <c r="D728" i="1" l="1"/>
  <c r="D722" i="1" l="1"/>
  <c r="D723" i="1"/>
  <c r="D724" i="1"/>
  <c r="D725" i="1"/>
  <c r="D726" i="1"/>
  <c r="D727" i="1"/>
  <c r="D697" i="1" l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7" i="1"/>
  <c r="D719" i="1"/>
  <c r="D720" i="1"/>
  <c r="D721" i="1"/>
  <c r="D694" i="1" l="1"/>
  <c r="D695" i="1"/>
  <c r="D696" i="1"/>
  <c r="D665" i="1" l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4" i="1"/>
  <c r="D685" i="1"/>
  <c r="D686" i="1"/>
  <c r="D687" i="1"/>
  <c r="D688" i="1"/>
  <c r="D689" i="1"/>
  <c r="D690" i="1"/>
  <c r="D691" i="1"/>
  <c r="D692" i="1"/>
  <c r="D693" i="1"/>
  <c r="D649" i="1" l="1"/>
  <c r="D651" i="1" l="1"/>
  <c r="D652" i="1"/>
  <c r="D653" i="1"/>
  <c r="D656" i="1"/>
  <c r="D657" i="1"/>
  <c r="D658" i="1"/>
  <c r="D659" i="1"/>
  <c r="D660" i="1"/>
  <c r="D661" i="1"/>
  <c r="D662" i="1"/>
  <c r="D663" i="1"/>
  <c r="D664" i="1"/>
  <c r="D638" i="1"/>
  <c r="D639" i="1"/>
  <c r="D640" i="1"/>
  <c r="D641" i="1"/>
  <c r="D642" i="1"/>
  <c r="D643" i="1"/>
  <c r="D644" i="1"/>
  <c r="D645" i="1"/>
  <c r="D646" i="1"/>
  <c r="D647" i="1"/>
  <c r="D648" i="1"/>
  <c r="D650" i="1"/>
  <c r="D633" i="1" l="1"/>
  <c r="D634" i="1"/>
  <c r="D635" i="1"/>
  <c r="D636" i="1"/>
  <c r="A2" i="9" l="1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X53" i="8"/>
  <c r="V53" i="8"/>
  <c r="U53" i="8"/>
  <c r="T53" i="8"/>
  <c r="S53" i="8"/>
  <c r="A32" i="8" s="1"/>
  <c r="X53" i="7"/>
  <c r="V53" i="7"/>
  <c r="U53" i="7"/>
  <c r="T53" i="7"/>
  <c r="S53" i="7"/>
  <c r="C9" i="7"/>
  <c r="M20" i="7" s="1"/>
  <c r="D627" i="1" l="1"/>
  <c r="D628" i="1" l="1"/>
  <c r="D629" i="1"/>
  <c r="D630" i="1"/>
  <c r="D631" i="1"/>
  <c r="D632" i="1"/>
  <c r="B616" i="1" l="1"/>
  <c r="M19" i="7" l="1"/>
  <c r="M19" i="8"/>
  <c r="D607" i="1" l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C9" i="8" l="1"/>
  <c r="B6" i="8"/>
  <c r="C8" i="7"/>
  <c r="I9" i="7"/>
  <c r="D593" i="1" l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A42" i="8" l="1"/>
  <c r="A41" i="8"/>
  <c r="A39" i="8"/>
  <c r="M21" i="8" l="1"/>
  <c r="A35" i="8"/>
  <c r="E6" i="8"/>
  <c r="I60" i="7" l="1"/>
  <c r="D560" i="1" l="1"/>
  <c r="D561" i="1"/>
  <c r="D562" i="1"/>
  <c r="D563" i="1"/>
  <c r="D564" i="1"/>
  <c r="E6" i="7" l="1"/>
  <c r="M21" i="7"/>
  <c r="D553" i="1"/>
  <c r="D555" i="1"/>
  <c r="D557" i="1"/>
  <c r="D558" i="1"/>
  <c r="D551" i="1" l="1"/>
  <c r="D568" i="1"/>
  <c r="D569" i="1"/>
  <c r="D571" i="1"/>
  <c r="D573" i="1"/>
  <c r="D575" i="1"/>
  <c r="D579" i="1"/>
  <c r="D584" i="1"/>
  <c r="D586" i="1"/>
  <c r="D588" i="1"/>
  <c r="D590" i="1"/>
  <c r="D592" i="1"/>
  <c r="D545" i="1"/>
  <c r="D547" i="1"/>
  <c r="D548" i="1"/>
  <c r="D428" i="1"/>
  <c r="D515" i="1" l="1"/>
  <c r="D517" i="1"/>
  <c r="D519" i="1"/>
  <c r="D521" i="1"/>
  <c r="D522" i="1"/>
  <c r="D524" i="1"/>
  <c r="D526" i="1"/>
  <c r="D529" i="1"/>
  <c r="D531" i="1"/>
  <c r="D533" i="1"/>
  <c r="D535" i="1"/>
  <c r="D537" i="1"/>
  <c r="D539" i="1"/>
  <c r="D541" i="1"/>
  <c r="D543" i="1"/>
  <c r="D513" i="1"/>
  <c r="D495" i="1" l="1"/>
  <c r="D430" i="1" l="1"/>
  <c r="D377" i="1" l="1"/>
  <c r="D379" i="1"/>
  <c r="D381" i="1"/>
  <c r="D383" i="1"/>
  <c r="D385" i="1"/>
  <c r="D387" i="1"/>
  <c r="D388" i="1"/>
  <c r="D390" i="1"/>
  <c r="D393" i="1"/>
  <c r="D395" i="1"/>
  <c r="D397" i="1"/>
  <c r="D399" i="1"/>
  <c r="D401" i="1"/>
  <c r="D403" i="1"/>
  <c r="D404" i="1"/>
  <c r="D406" i="1"/>
  <c r="D409" i="1"/>
  <c r="D411" i="1"/>
  <c r="D413" i="1"/>
  <c r="D415" i="1"/>
  <c r="D416" i="1"/>
  <c r="D419" i="1"/>
  <c r="D420" i="1"/>
  <c r="D422" i="1"/>
  <c r="D424" i="1"/>
  <c r="D426" i="1"/>
  <c r="D433" i="1"/>
  <c r="D435" i="1"/>
  <c r="D437" i="1"/>
  <c r="D438" i="1"/>
  <c r="D442" i="1"/>
  <c r="D444" i="1"/>
  <c r="D447" i="1"/>
  <c r="D448" i="1"/>
  <c r="D451" i="1"/>
  <c r="D453" i="1"/>
  <c r="D454" i="1"/>
  <c r="D457" i="1"/>
  <c r="D459" i="1"/>
  <c r="D461" i="1"/>
  <c r="D463" i="1"/>
  <c r="D464" i="1"/>
  <c r="D466" i="1"/>
  <c r="D469" i="1"/>
  <c r="D471" i="1"/>
  <c r="D473" i="1"/>
  <c r="D475" i="1"/>
  <c r="D477" i="1"/>
  <c r="D480" i="1"/>
  <c r="D482" i="1"/>
  <c r="D484" i="1"/>
  <c r="D486" i="1"/>
  <c r="D489" i="1"/>
  <c r="D491" i="1"/>
  <c r="D493" i="1"/>
  <c r="D497" i="1"/>
  <c r="D499" i="1"/>
  <c r="D501" i="1"/>
  <c r="D503" i="1"/>
  <c r="D504" i="1"/>
  <c r="D507" i="1"/>
  <c r="D508" i="1"/>
  <c r="D511" i="1"/>
  <c r="D296" i="1" l="1"/>
  <c r="D292" i="1" l="1"/>
  <c r="D332" i="1" l="1"/>
  <c r="D335" i="1"/>
  <c r="D337" i="1"/>
  <c r="D338" i="1"/>
  <c r="D341" i="1"/>
  <c r="D343" i="1"/>
  <c r="D345" i="1"/>
  <c r="D346" i="1"/>
  <c r="D348" i="1"/>
  <c r="D350" i="1"/>
  <c r="D354" i="1"/>
  <c r="D357" i="1"/>
  <c r="D359" i="1"/>
  <c r="D361" i="1"/>
  <c r="D363" i="1"/>
  <c r="D365" i="1"/>
  <c r="D367" i="1"/>
  <c r="D368" i="1"/>
  <c r="D371" i="1"/>
  <c r="D373" i="1"/>
  <c r="D374" i="1"/>
  <c r="D299" i="1" l="1"/>
  <c r="D301" i="1"/>
  <c r="D303" i="1"/>
  <c r="D305" i="1"/>
  <c r="D306" i="1"/>
  <c r="D309" i="1"/>
  <c r="D310" i="1"/>
  <c r="D313" i="1"/>
  <c r="D315" i="1"/>
  <c r="D317" i="1"/>
  <c r="D319" i="1"/>
  <c r="D321" i="1"/>
  <c r="D323" i="1"/>
  <c r="D325" i="1"/>
  <c r="D326" i="1"/>
  <c r="D328" i="1"/>
  <c r="D331" i="1"/>
  <c r="D270" i="1" l="1"/>
  <c r="D273" i="1"/>
  <c r="D275" i="1"/>
  <c r="D276" i="1"/>
  <c r="D279" i="1"/>
  <c r="D280" i="1"/>
  <c r="D284" i="1"/>
  <c r="D287" i="1"/>
  <c r="D291" i="1"/>
  <c r="D295" i="1"/>
  <c r="D214" i="1" l="1"/>
  <c r="D193" i="1" l="1"/>
  <c r="D195" i="1"/>
  <c r="D197" i="1"/>
  <c r="D199" i="1"/>
  <c r="D201" i="1"/>
  <c r="D203" i="1"/>
  <c r="D204" i="1"/>
  <c r="D206" i="1"/>
  <c r="D208" i="1"/>
  <c r="D211" i="1"/>
  <c r="D213" i="1"/>
  <c r="D216" i="1"/>
  <c r="D218" i="1"/>
  <c r="D221" i="1"/>
  <c r="D223" i="1"/>
  <c r="D225" i="1"/>
  <c r="D227" i="1"/>
  <c r="D229" i="1"/>
  <c r="D231" i="1"/>
  <c r="D233" i="1"/>
  <c r="D234" i="1"/>
  <c r="D236" i="1"/>
  <c r="D239" i="1"/>
  <c r="D241" i="1"/>
  <c r="D242" i="1"/>
  <c r="D244" i="1"/>
  <c r="D247" i="1"/>
  <c r="D248" i="1"/>
  <c r="D251" i="1"/>
  <c r="D252" i="1"/>
  <c r="D254" i="1"/>
  <c r="D257" i="1"/>
  <c r="D259" i="1"/>
  <c r="D262" i="1"/>
  <c r="D264" i="1"/>
  <c r="D266" i="1"/>
  <c r="D268" i="1"/>
  <c r="D171" i="1" l="1"/>
  <c r="D172" i="1"/>
  <c r="D174" i="1"/>
  <c r="D176" i="1"/>
  <c r="D178" i="1"/>
  <c r="D181" i="1"/>
  <c r="D183" i="1"/>
  <c r="D184" i="1"/>
  <c r="D186" i="1"/>
  <c r="D189" i="1"/>
  <c r="D191" i="1"/>
  <c r="D375" i="5" l="1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1" i="5"/>
  <c r="D350" i="5"/>
  <c r="D349" i="5"/>
  <c r="D348" i="5"/>
  <c r="D347" i="5"/>
  <c r="D346" i="5"/>
  <c r="D345" i="5"/>
  <c r="D344" i="5"/>
  <c r="D340" i="5"/>
  <c r="D339" i="5"/>
  <c r="D338" i="5"/>
  <c r="D337" i="5"/>
  <c r="D336" i="5"/>
  <c r="D334" i="5"/>
  <c r="D333" i="5"/>
  <c r="D331" i="5"/>
  <c r="D330" i="5"/>
  <c r="D327" i="5"/>
  <c r="D326" i="5"/>
  <c r="D134" i="1"/>
  <c r="D140" i="1"/>
  <c r="D142" i="1"/>
  <c r="D144" i="1"/>
  <c r="D147" i="1"/>
  <c r="D148" i="1"/>
  <c r="D150" i="1"/>
  <c r="D153" i="1"/>
  <c r="D154" i="1"/>
  <c r="D156" i="1"/>
  <c r="D160" i="1"/>
  <c r="D163" i="1"/>
  <c r="D165" i="1"/>
  <c r="D166" i="1"/>
  <c r="D168" i="1"/>
  <c r="D132" i="1"/>
  <c r="D114" i="1" l="1"/>
  <c r="D116" i="1" l="1"/>
  <c r="D118" i="1"/>
  <c r="D121" i="1"/>
  <c r="D125" i="1"/>
  <c r="D126" i="1"/>
  <c r="D129" i="1"/>
  <c r="D131" i="1"/>
  <c r="D113" i="1"/>
  <c r="D107" i="1" l="1"/>
  <c r="D109" i="1"/>
  <c r="D110" i="1"/>
  <c r="D71" i="1" l="1"/>
  <c r="D73" i="1"/>
  <c r="D79" i="1"/>
  <c r="D81" i="1"/>
  <c r="D85" i="1"/>
  <c r="D86" i="1"/>
  <c r="D90" i="1"/>
  <c r="D92" i="1"/>
  <c r="D95" i="1"/>
  <c r="D97" i="1"/>
  <c r="D98" i="1"/>
</calcChain>
</file>

<file path=xl/sharedStrings.xml><?xml version="1.0" encoding="utf-8"?>
<sst xmlns="http://schemas.openxmlformats.org/spreadsheetml/2006/main" count="10054" uniqueCount="2489">
  <si>
    <t>Auftrag Nr.</t>
  </si>
  <si>
    <t>Datum</t>
  </si>
  <si>
    <t>Objekt Nr.</t>
  </si>
  <si>
    <t>Strasse</t>
  </si>
  <si>
    <t>WHG</t>
  </si>
  <si>
    <t>Mieter</t>
  </si>
  <si>
    <t>Beschreibung der Tätigkeit</t>
  </si>
  <si>
    <t>aufgestellt durch</t>
  </si>
  <si>
    <t>weiter-geleitet an</t>
  </si>
  <si>
    <t>Driburgerstr. 8</t>
  </si>
  <si>
    <t>DG li</t>
  </si>
  <si>
    <t>Jahn</t>
  </si>
  <si>
    <t>DHB überprüfen, Druckminderer</t>
  </si>
  <si>
    <t>HS</t>
  </si>
  <si>
    <t>AS</t>
  </si>
  <si>
    <t>Neumühlerstr. 39</t>
  </si>
  <si>
    <t>2.OG re</t>
  </si>
  <si>
    <t>Leerstand</t>
  </si>
  <si>
    <t>Bodenfliesen Küche-Teilbereich Diele</t>
  </si>
  <si>
    <t>Groten</t>
  </si>
  <si>
    <t>Elektroertüchtigung Küche - Ventilator Bad</t>
  </si>
  <si>
    <t>außen</t>
  </si>
  <si>
    <t>Dachrinnenreinigung wg. Verstopfung</t>
  </si>
  <si>
    <t>CS</t>
  </si>
  <si>
    <t xml:space="preserve">Haarkamp </t>
  </si>
  <si>
    <t>Haarkamp</t>
  </si>
  <si>
    <t>Spichernstraße 27</t>
  </si>
  <si>
    <t>2. OG rechts</t>
  </si>
  <si>
    <t>Möck/Schwimm</t>
  </si>
  <si>
    <t>Fenster einstellen</t>
  </si>
  <si>
    <t>Menzel</t>
  </si>
  <si>
    <t>Broicherdorfstr. 3</t>
  </si>
  <si>
    <t>3.OG li</t>
  </si>
  <si>
    <t>Post</t>
  </si>
  <si>
    <t>Versiegelung Balkonfenster, Malerarbeiten Schlafzimmer nach Wasserschaden</t>
  </si>
  <si>
    <t>Alte Bachstr.</t>
  </si>
  <si>
    <t>Aussen</t>
  </si>
  <si>
    <t>Eingangsbereich Untersicht weiß streichen</t>
  </si>
  <si>
    <t>------------</t>
  </si>
  <si>
    <t>Koppelskamp 5</t>
  </si>
  <si>
    <t>SG</t>
  </si>
  <si>
    <t>Haram</t>
  </si>
  <si>
    <t>Sat-Kabel sauber verlegen</t>
  </si>
  <si>
    <t>Dach</t>
  </si>
  <si>
    <t>Undichtigkeit</t>
  </si>
  <si>
    <t>Juchem</t>
  </si>
  <si>
    <t>3. OG links</t>
  </si>
  <si>
    <t>Post/Huppertz</t>
  </si>
  <si>
    <t>Blum</t>
  </si>
  <si>
    <t>Koppelkamp 7</t>
  </si>
  <si>
    <t>Gartenhaus</t>
  </si>
  <si>
    <t>Fassbender</t>
  </si>
  <si>
    <t>Wasser läuft aus der Heizung</t>
  </si>
  <si>
    <t>H+L, Heinsberg</t>
  </si>
  <si>
    <t>H&amp;L</t>
  </si>
  <si>
    <t>Engerstraße</t>
  </si>
  <si>
    <t>Muhn/Heinen</t>
  </si>
  <si>
    <t>Lampen austauschen am Badezimmerspiegel</t>
  </si>
  <si>
    <t>KW</t>
  </si>
  <si>
    <t>Angerbenden 31</t>
  </si>
  <si>
    <t>EG links</t>
  </si>
  <si>
    <t>E-Check</t>
  </si>
  <si>
    <t>CB</t>
  </si>
  <si>
    <t>Koppelskamp 14</t>
  </si>
  <si>
    <t>1. OG links</t>
  </si>
  <si>
    <t>Pohl</t>
  </si>
  <si>
    <t>Klingel defekt</t>
  </si>
  <si>
    <t>35-37</t>
  </si>
  <si>
    <t>Lintorfer Waldstr.</t>
  </si>
  <si>
    <t>aussen</t>
  </si>
  <si>
    <t>Außenbeleuchtung defekt</t>
  </si>
  <si>
    <t>van Acken</t>
  </si>
  <si>
    <t>Wohnng teilweise streichen</t>
  </si>
  <si>
    <t>Garagendach</t>
  </si>
  <si>
    <t>Sturmschaden</t>
  </si>
  <si>
    <t>Neumühlerstr. 37</t>
  </si>
  <si>
    <t>Rother</t>
  </si>
  <si>
    <t>Wohnungseingangstür einputzen</t>
  </si>
  <si>
    <t>Treppenhaus</t>
  </si>
  <si>
    <t>Beleutchtung defekt</t>
  </si>
  <si>
    <t>32-34</t>
  </si>
  <si>
    <t>Koppelskamp 5-7</t>
  </si>
  <si>
    <t>Mörkens/Kammerevert/Bagherzadegan</t>
  </si>
  <si>
    <t>Netzwerkanschluss überprüfen</t>
  </si>
  <si>
    <t>Mainz</t>
  </si>
  <si>
    <t>Koppelskamp 5a</t>
  </si>
  <si>
    <t>1.OG li.</t>
  </si>
  <si>
    <t>Kammervert</t>
  </si>
  <si>
    <t>Sendestärke Sat-Anschluss prüfen</t>
  </si>
  <si>
    <t>Merowingerstr. 17</t>
  </si>
  <si>
    <t>2. OG hinten</t>
  </si>
  <si>
    <t>Lülsdorf</t>
  </si>
  <si>
    <t>Therme verliert Wasser, Heizung wird nicht warm</t>
  </si>
  <si>
    <t>Wingartz</t>
  </si>
  <si>
    <t>DG</t>
  </si>
  <si>
    <t>Frau Lang</t>
  </si>
  <si>
    <t>eine Rollade defekt</t>
  </si>
  <si>
    <t>Sache Florack</t>
  </si>
  <si>
    <t>Bismarckstraße 109</t>
  </si>
  <si>
    <t xml:space="preserve">Beseitigung bzw. Reparatur Sturmschaden </t>
  </si>
  <si>
    <t>Kranzstraße 103</t>
  </si>
  <si>
    <t>EG r</t>
  </si>
  <si>
    <t>Braun</t>
  </si>
  <si>
    <t>Rolladen durch Sturm beschädigt</t>
  </si>
  <si>
    <t>Müllers</t>
  </si>
  <si>
    <t>Bertram</t>
  </si>
  <si>
    <t>Metzer Str.28</t>
  </si>
  <si>
    <t>1.OG r</t>
  </si>
  <si>
    <t>Eckert</t>
  </si>
  <si>
    <t>Austausch DHB</t>
  </si>
  <si>
    <t>Koppelskamp 12</t>
  </si>
  <si>
    <t>Bewegungsmelder, Netzwerkanschluss</t>
  </si>
  <si>
    <t>Franz</t>
  </si>
  <si>
    <t>Klingeltaster klemmt</t>
  </si>
  <si>
    <t>As</t>
  </si>
  <si>
    <t>Leestand</t>
  </si>
  <si>
    <t>Kölner Str. 215</t>
  </si>
  <si>
    <t>5. OG rechst</t>
  </si>
  <si>
    <t>gelöste Tapete im Bad befestigen</t>
  </si>
  <si>
    <t>ST</t>
  </si>
  <si>
    <t>Angermunder Str.</t>
  </si>
  <si>
    <t>1.OG rechts</t>
  </si>
  <si>
    <t>Kaspers-Bayer</t>
  </si>
  <si>
    <t>Klingel klemmt</t>
  </si>
  <si>
    <t>Dr. Hehmann</t>
  </si>
  <si>
    <t>Toilette versiegeln, Fliesenarbeiten</t>
  </si>
  <si>
    <t>s. Auftrag 77</t>
  </si>
  <si>
    <t>Schaltkasten überprüfen</t>
  </si>
  <si>
    <t>Koppelskamp 10</t>
  </si>
  <si>
    <t>DG rechts</t>
  </si>
  <si>
    <t>E-Check, neues Schalterprogramm</t>
  </si>
  <si>
    <t>Schelges</t>
  </si>
  <si>
    <t>Wasserfleck an Gaube nachstreichen</t>
  </si>
  <si>
    <t>Kölner landstr.</t>
  </si>
  <si>
    <t>Hauseingang</t>
  </si>
  <si>
    <t>Glasscheibe erneuert</t>
  </si>
  <si>
    <t>Schmelzer</t>
  </si>
  <si>
    <t>Hoppengarten 17</t>
  </si>
  <si>
    <t>EG re</t>
  </si>
  <si>
    <t>Golla</t>
  </si>
  <si>
    <t>Anstrich Abst.-R. nach Wasserschaden, Türen kürzen</t>
  </si>
  <si>
    <t>Velden</t>
  </si>
  <si>
    <t>Bautrockner aufstellen, Nachbehandlung Abst.-</t>
  </si>
  <si>
    <t>Krishnacumar</t>
  </si>
  <si>
    <t>Austausch Toilette</t>
  </si>
  <si>
    <t>Graf</t>
  </si>
  <si>
    <t>1. OG rechts</t>
  </si>
  <si>
    <t>Höchst</t>
  </si>
  <si>
    <t>Pfalzstr. 17</t>
  </si>
  <si>
    <t>3.OG re</t>
  </si>
  <si>
    <t>Sengespeick</t>
  </si>
  <si>
    <t>Decke Küche nach Wasserschaden nachstr.</t>
  </si>
  <si>
    <t>Metzerstr. 28</t>
  </si>
  <si>
    <t>Günes</t>
  </si>
  <si>
    <t>Vinyl Flur ausbessern, Wasserfleck Küche nachstreichen</t>
  </si>
  <si>
    <t>Neumühler Straße 39</t>
  </si>
  <si>
    <t>RW Fallrohr</t>
  </si>
  <si>
    <t>Austausch Fallrohr zwischen Haus 37 u. 39</t>
  </si>
  <si>
    <t xml:space="preserve">Juchem </t>
  </si>
  <si>
    <t>Kohlert</t>
  </si>
  <si>
    <t>Austausch defekte Glasscheibe Kinderzimmer</t>
  </si>
  <si>
    <t>Schützenstraße</t>
  </si>
  <si>
    <t>DG LI</t>
  </si>
  <si>
    <t>Osmani</t>
  </si>
  <si>
    <t>Luisenstraße 3</t>
  </si>
  <si>
    <t>Aufzug</t>
  </si>
  <si>
    <t>Erneuerung der Riegelrolle im KG</t>
  </si>
  <si>
    <t>Schott</t>
  </si>
  <si>
    <t>Neanderstraße</t>
  </si>
  <si>
    <t>Kokin</t>
  </si>
  <si>
    <t>Heizungsventil Schlafzimmer austauschen</t>
  </si>
  <si>
    <t>Koloniestraße</t>
  </si>
  <si>
    <t>E-Ckeck, Steckdose locker, fehlende Lüsterklemme, Heizungsventil reparieren, Küchenfenster nachstellen, Duschstange erneuern/reparieren?</t>
  </si>
  <si>
    <t xml:space="preserve">Grafenberger Allee </t>
  </si>
  <si>
    <t>4. OG li</t>
  </si>
  <si>
    <t>Philippen</t>
  </si>
  <si>
    <t>DLE defekt</t>
  </si>
  <si>
    <t>Lintorfer Waldstr. 6</t>
  </si>
  <si>
    <t>2.OG Mitte</t>
  </si>
  <si>
    <t>Varga</t>
  </si>
  <si>
    <t>Stellantriebe FBH undicht, Thermostate prüfen, Ausguss Badewanne erneuern</t>
  </si>
  <si>
    <t>Weber</t>
  </si>
  <si>
    <t>Lintorfer Waldstr. 10</t>
  </si>
  <si>
    <t>Dg mitte</t>
  </si>
  <si>
    <t>Appel-Derichs</t>
  </si>
  <si>
    <t>Geräte erklären</t>
  </si>
  <si>
    <t>Lintorfer Waldstr. 8</t>
  </si>
  <si>
    <t>Treppenhaus/Außen</t>
  </si>
  <si>
    <t>Beleuchtung prüfen</t>
  </si>
  <si>
    <t>Toilette Gäste WC undicht</t>
  </si>
  <si>
    <t>Zobel</t>
  </si>
  <si>
    <t>Lichtschalter SZ austauschen</t>
  </si>
  <si>
    <t>Cardinale</t>
  </si>
  <si>
    <t>Untertischgerät erneuern</t>
  </si>
  <si>
    <t>1.OG Mi</t>
  </si>
  <si>
    <t>Ostrowski</t>
  </si>
  <si>
    <t>BW Therme nur lauwarmes Wasser</t>
  </si>
  <si>
    <t>EG mi</t>
  </si>
  <si>
    <t>Gorecka</t>
  </si>
  <si>
    <t>Therme defekt</t>
  </si>
  <si>
    <t>Immerath</t>
  </si>
  <si>
    <t>Kölnerstr. 215</t>
  </si>
  <si>
    <t>2.OG li</t>
  </si>
  <si>
    <t>Sudheimer</t>
  </si>
  <si>
    <t>Wand-Deckenanschluß Risse, Acrylarbeiten</t>
  </si>
  <si>
    <t>Muhl</t>
  </si>
  <si>
    <t>Türschliesser nachfräsen</t>
  </si>
  <si>
    <t>Kölner Str. 217</t>
  </si>
  <si>
    <t>3. OG r</t>
  </si>
  <si>
    <t>Kanhai</t>
  </si>
  <si>
    <t>E-Check; Überprüfung Klingelanlage; Fensterdichtung Wohnzimmer</t>
  </si>
  <si>
    <t>Wicher/Kansy</t>
  </si>
  <si>
    <t>E-Check, Drückerarmatur an der Wohnzimmertür prüfen</t>
  </si>
  <si>
    <t>Kopppelskamp 7</t>
  </si>
  <si>
    <t>Baherzadegan</t>
  </si>
  <si>
    <t>Gegensprechanlage überprüfen</t>
  </si>
  <si>
    <t>Duschstange tiefersetzen, Kellerraum Strom falsch aufgelegt</t>
  </si>
  <si>
    <t>Borsigstr.</t>
  </si>
  <si>
    <t>UG</t>
  </si>
  <si>
    <t>Berns</t>
  </si>
  <si>
    <t>Einbau eines gr. Heizkörpers Schlafen</t>
  </si>
  <si>
    <t>Kaunen</t>
  </si>
  <si>
    <t>Beschlag Wohnungseingangstüre, Waschbecken, Armaturen, Vorhang-Duschstange</t>
  </si>
  <si>
    <t>Boley</t>
  </si>
  <si>
    <t>Türöffener defekt</t>
  </si>
  <si>
    <t>1. OG m</t>
  </si>
  <si>
    <t>Yildiz</t>
  </si>
  <si>
    <t>E-Ckeck, Stockflecken oberhalb der Fenster in den Schlafräumen beseitigen</t>
  </si>
  <si>
    <t>Mündelheimer Str. 3-5</t>
  </si>
  <si>
    <t>Haustür</t>
  </si>
  <si>
    <t>Austausch der eingeschl. Scheiben in der Haustüt</t>
  </si>
  <si>
    <t>Glas Scholl</t>
  </si>
  <si>
    <t>Scholl</t>
  </si>
  <si>
    <t>Heinz</t>
  </si>
  <si>
    <t>BW-Therme Störung</t>
  </si>
  <si>
    <t>EG rechts</t>
  </si>
  <si>
    <t>durchgeschmorte Steckdose</t>
  </si>
  <si>
    <t>nur Fehlersuche</t>
  </si>
  <si>
    <t>Borsigstraße 7</t>
  </si>
  <si>
    <t>Ali</t>
  </si>
  <si>
    <t>E Check; evtl. Licht in den Mieterkeller verlegen</t>
  </si>
  <si>
    <t>Simsvorsprung löst sich EG-bereich</t>
  </si>
  <si>
    <t>Kron</t>
  </si>
  <si>
    <t>Störung BW-Therme</t>
  </si>
  <si>
    <t>Stockkampstraße 47</t>
  </si>
  <si>
    <t>DG links</t>
  </si>
  <si>
    <t>Schweing</t>
  </si>
  <si>
    <t>Klingel vor der Wohnungstür funktioniert nicht</t>
  </si>
  <si>
    <t>Hehmann</t>
  </si>
  <si>
    <t>nach Wasserschaden Dusche Gäste WC Fliesen</t>
  </si>
  <si>
    <t>Wehr</t>
  </si>
  <si>
    <t>Wasserschaden Decke Loggia</t>
  </si>
  <si>
    <t>Storno</t>
  </si>
  <si>
    <t>Neumühler Straße 35</t>
  </si>
  <si>
    <t>Lindinger</t>
  </si>
  <si>
    <t>Metzerstr. 28a</t>
  </si>
  <si>
    <t>1.OG</t>
  </si>
  <si>
    <t>Volgmann</t>
  </si>
  <si>
    <t>DHB defekt</t>
  </si>
  <si>
    <t>Fries</t>
  </si>
  <si>
    <t>Störung Sprechanlage</t>
  </si>
  <si>
    <t>Gewert</t>
  </si>
  <si>
    <t>Vor/Rücklauf vertauscht</t>
  </si>
  <si>
    <t>KG</t>
  </si>
  <si>
    <t>Heizung</t>
  </si>
  <si>
    <t>Erneuerung Druckausgleichgsgefäß</t>
  </si>
  <si>
    <t>Jelonek</t>
  </si>
  <si>
    <t>Ceranfeld: 2 Platten defekt</t>
  </si>
  <si>
    <t>Neumühler Straße 41</t>
  </si>
  <si>
    <t>2. OG links</t>
  </si>
  <si>
    <t>2.OG hinten</t>
  </si>
  <si>
    <t>Reparatur Zuleitung Therme-Thermostat</t>
  </si>
  <si>
    <t>Sahin</t>
  </si>
  <si>
    <t>Trockenraum</t>
  </si>
  <si>
    <t>RW-leitung undicht</t>
  </si>
  <si>
    <t>DG Mitte</t>
  </si>
  <si>
    <t>Siebert</t>
  </si>
  <si>
    <t xml:space="preserve">Austausch Fensterscheibe </t>
  </si>
  <si>
    <t>Koppelskamp 9</t>
  </si>
  <si>
    <t>Haus Weber</t>
  </si>
  <si>
    <t>Mängelbeseitigung Florack Fenster nachstellen</t>
  </si>
  <si>
    <t>Waschraum</t>
  </si>
  <si>
    <t>Austausch Absperrhahn</t>
  </si>
  <si>
    <t>Lindenstraße 267</t>
  </si>
  <si>
    <t>Heizung gibt laute Geräusche von sich, Kosten lt. Weber ca. 198,00 Euro, Fa. Weber telefonisch beauftragt</t>
  </si>
  <si>
    <t>Neumühler Str. 35</t>
  </si>
  <si>
    <t>Werner</t>
  </si>
  <si>
    <t>Badezimmerfenster kann nicht mehr geöffnet werden</t>
  </si>
  <si>
    <t>WHG 6</t>
  </si>
  <si>
    <t>Voß</t>
  </si>
  <si>
    <t>Durchlauferhitzer defekt</t>
  </si>
  <si>
    <t>Dachboden</t>
  </si>
  <si>
    <t>Licht defekt, Austausch einer Röhre hat nicht gereicht</t>
  </si>
  <si>
    <t>Einbau Deckenspots in Abhangdecke</t>
  </si>
  <si>
    <t>Störung Therme</t>
  </si>
  <si>
    <t>Schlossstr.</t>
  </si>
  <si>
    <t>E-Check - kl. Arbeiten</t>
  </si>
  <si>
    <t>AS-ST</t>
  </si>
  <si>
    <t>AT</t>
  </si>
  <si>
    <t>3. OG vl</t>
  </si>
  <si>
    <t>E-Check - Einbau Feuchtraumventilator</t>
  </si>
  <si>
    <t>Loggia Decke Dämmung ertüchtigen</t>
  </si>
  <si>
    <t>Erdmann</t>
  </si>
  <si>
    <t>Austausch WT Armatur SP</t>
  </si>
  <si>
    <t>Frau Elas</t>
  </si>
  <si>
    <t xml:space="preserve">Kontrolle Thermostathe </t>
  </si>
  <si>
    <t>AS/ST</t>
  </si>
  <si>
    <t>Austausch Scheibe Zimmer links</t>
  </si>
  <si>
    <t>Classen</t>
  </si>
  <si>
    <t>Sicherung herausgefl., Rolllade steht</t>
  </si>
  <si>
    <t>Roßbach</t>
  </si>
  <si>
    <t>Küchenabflußleitung verstopft</t>
  </si>
  <si>
    <t>Achternbosch</t>
  </si>
  <si>
    <t>Thrams</t>
  </si>
  <si>
    <t>Anschluß Spülkasten zur Toilette undicht Bad</t>
  </si>
  <si>
    <t>Kammerevert</t>
  </si>
  <si>
    <t>E-Zuleitung Markise herstellen</t>
  </si>
  <si>
    <t>1.OG hi</t>
  </si>
  <si>
    <t>Rutkowski</t>
  </si>
  <si>
    <t>Therme WW o. Funktion</t>
  </si>
  <si>
    <t xml:space="preserve"> Schloßstraße 19</t>
  </si>
  <si>
    <t>Costa</t>
  </si>
  <si>
    <t>Therme defekt, verliert Wasser</t>
  </si>
  <si>
    <t>Gieseler</t>
  </si>
  <si>
    <t>Balkonbelag - Versiegelung Wanne</t>
  </si>
  <si>
    <t>Berndt</t>
  </si>
  <si>
    <t>Neues Waschbecken im Bad anbringen</t>
  </si>
  <si>
    <t>Hahn</t>
  </si>
  <si>
    <t>Markise defekt, Seilzug gerissen</t>
  </si>
  <si>
    <t>Stötzel</t>
  </si>
  <si>
    <t>Balkonsanierung Oberboden</t>
  </si>
  <si>
    <t>Fa. Groten</t>
  </si>
  <si>
    <t>Motzel</t>
  </si>
  <si>
    <t>Badfenster einstellen</t>
  </si>
  <si>
    <t>5.OG</t>
  </si>
  <si>
    <t>Klöcker</t>
  </si>
  <si>
    <t>Badtüre kürzen Schimmel entfernen</t>
  </si>
  <si>
    <t>Flur</t>
  </si>
  <si>
    <t>Fahrradständer aufhängen</t>
  </si>
  <si>
    <t>Fensterbeschlag defekt SZ+WZ</t>
  </si>
  <si>
    <t>-------------</t>
  </si>
  <si>
    <t>3.OG vl</t>
  </si>
  <si>
    <t>Austausch Duschkopf mit Schlauch, Sifon</t>
  </si>
  <si>
    <t>Kölnerstr. 217</t>
  </si>
  <si>
    <t>4.OG li</t>
  </si>
  <si>
    <t>Saiyong</t>
  </si>
  <si>
    <t>Fenster WZ  Beschlag defekt</t>
  </si>
  <si>
    <t>Bourak</t>
  </si>
  <si>
    <t>Hk Küche undicht</t>
  </si>
  <si>
    <t>Orhan</t>
  </si>
  <si>
    <t>Terrassentür lässt sich nicht öffnen/bedienen</t>
  </si>
  <si>
    <t>TG</t>
  </si>
  <si>
    <t>Tor</t>
  </si>
  <si>
    <t>Steuerkabel erneuert</t>
  </si>
  <si>
    <t>Rohter</t>
  </si>
  <si>
    <t>Koppelskamp 7</t>
  </si>
  <si>
    <t>Tausch</t>
  </si>
  <si>
    <t>Klingel Wohnungstüre o. Funktion</t>
  </si>
  <si>
    <t>1.OG re</t>
  </si>
  <si>
    <t>Fenster WZ nachstellen</t>
  </si>
  <si>
    <t>Fa. Menzel</t>
  </si>
  <si>
    <t>Möbel in Anbau umlagern</t>
  </si>
  <si>
    <t>ST-AS</t>
  </si>
  <si>
    <t>ST-Drezek</t>
  </si>
  <si>
    <t>Förster</t>
  </si>
  <si>
    <t>Scharnier Balkontüre gebrochen</t>
  </si>
  <si>
    <t>Fallrohr abgefallen</t>
  </si>
  <si>
    <t>Juchen</t>
  </si>
  <si>
    <t>E-Check - PVC Boden Ausbau-Ertüchtigung-Toilettendeckel-Brausestange</t>
  </si>
  <si>
    <t>Fenster nachstellen</t>
  </si>
  <si>
    <t>Schmidt</t>
  </si>
  <si>
    <t>Druckspüler defekt</t>
  </si>
  <si>
    <t>Borsigstraße7</t>
  </si>
  <si>
    <t>Stiemer</t>
  </si>
  <si>
    <t>Alle Fenster nachstellen</t>
  </si>
  <si>
    <t>Bourack</t>
  </si>
  <si>
    <t>Austausch Heizkörper</t>
  </si>
  <si>
    <t>Gasrohr an Therme befestigen, Wasserleitung Küche undicht</t>
  </si>
  <si>
    <t>Stromkabel für Lampen verlängern</t>
  </si>
  <si>
    <t>DG mitte</t>
  </si>
  <si>
    <t>Klingel Hausflur defekt</t>
  </si>
  <si>
    <t>Oberwinster</t>
  </si>
  <si>
    <t>Glasabdeckung Außenlampe Balkon erneuern</t>
  </si>
  <si>
    <t>Zuleitung Markise Elektro</t>
  </si>
  <si>
    <t>kashari</t>
  </si>
  <si>
    <t>kein WW - Therme</t>
  </si>
  <si>
    <t>Fa. Weber</t>
  </si>
  <si>
    <t>Kallinisch</t>
  </si>
  <si>
    <t>WC-Druckspüler erneuert</t>
  </si>
  <si>
    <t>Druckverlust Therme</t>
  </si>
  <si>
    <t>Roßstr.</t>
  </si>
  <si>
    <t>Mokhtar</t>
  </si>
  <si>
    <t>Rohrverstopfung Küche</t>
  </si>
  <si>
    <t>KW/ST</t>
  </si>
  <si>
    <t>Singer</t>
  </si>
  <si>
    <t>Lichtschacht Entwässerung</t>
  </si>
  <si>
    <t>Mansour</t>
  </si>
  <si>
    <t>Sicherung Nr 12 springt raus bei Betätigen des Lichtschalters, Exzenter im Waschbecken/ Bad schließt nicht</t>
  </si>
  <si>
    <t>Hoppengarten 15</t>
  </si>
  <si>
    <t>Heizraum</t>
  </si>
  <si>
    <t>RW-Leitung undicht oder verstopft</t>
  </si>
  <si>
    <t>EG Mi</t>
  </si>
  <si>
    <t>Hölscher</t>
  </si>
  <si>
    <t>Abfluß-Heizungsleitung undicht</t>
  </si>
  <si>
    <t>Lintorferwaldstr. 6</t>
  </si>
  <si>
    <t>Bierwich</t>
  </si>
  <si>
    <t>Abflußleitung Küche verstopft</t>
  </si>
  <si>
    <t>Änderung falscher Anschluß TAE</t>
  </si>
  <si>
    <t>Stellplätze</t>
  </si>
  <si>
    <t>Außen</t>
  </si>
  <si>
    <t>Randsteine befestigen</t>
  </si>
  <si>
    <t>Drezek</t>
  </si>
  <si>
    <t>Küche Boden Fliesen</t>
  </si>
  <si>
    <t>H.A</t>
  </si>
  <si>
    <t>Wasserleitung undicht</t>
  </si>
  <si>
    <t>Kehle Gaube Wohnen undicht, Dachpfanne def</t>
  </si>
  <si>
    <t>Auftrag o. Berechnung</t>
  </si>
  <si>
    <t>Neumühlerstr. 35</t>
  </si>
  <si>
    <t>Wasserschaden Küche zu Bad</t>
  </si>
  <si>
    <t>Börnestr.</t>
  </si>
  <si>
    <t>Maiers</t>
  </si>
  <si>
    <t>Sicherung für DG fliegt raus</t>
  </si>
  <si>
    <t>Birwisch</t>
  </si>
  <si>
    <t>Jeroschewski</t>
  </si>
  <si>
    <t>Balkon undicht</t>
  </si>
  <si>
    <t>Lochfrass Strömungssicherung</t>
  </si>
  <si>
    <t>Spannungsschwankungen</t>
  </si>
  <si>
    <t xml:space="preserve">AS </t>
  </si>
  <si>
    <t>Mieterkeller</t>
  </si>
  <si>
    <t>SW-Fallstrang undicht</t>
  </si>
  <si>
    <t>Kaminski</t>
  </si>
  <si>
    <t>Singelküche - Badtüre defekt</t>
  </si>
  <si>
    <t>Austausch DFF Küche</t>
  </si>
  <si>
    <t>Elas</t>
  </si>
  <si>
    <t>Gewerbe</t>
  </si>
  <si>
    <t>2 Schilder Mieterparkplätze</t>
  </si>
  <si>
    <t>Hess</t>
  </si>
  <si>
    <t>Kölner Straße 217</t>
  </si>
  <si>
    <t>Fenster im Wohnzimmer einstellen</t>
  </si>
  <si>
    <t>Kölnerstr: 217</t>
  </si>
  <si>
    <t>Rose</t>
  </si>
  <si>
    <t>Austausch Ausdehungsgefäß</t>
  </si>
  <si>
    <t>CO2 Werte Therme zu hoch</t>
  </si>
  <si>
    <t>??</t>
  </si>
  <si>
    <t>Theis</t>
  </si>
  <si>
    <t>Therme Wasserschalter defekt</t>
  </si>
  <si>
    <t>Stopp ca. 3 cm über Boden einstellen</t>
  </si>
  <si>
    <t>Lavini</t>
  </si>
  <si>
    <t>Bad Malerarbeiten nach Reparatur Rolllade</t>
  </si>
  <si>
    <t>Born</t>
  </si>
  <si>
    <t>Mögl. Wasserschaden Bad</t>
  </si>
  <si>
    <t>Bleidt</t>
  </si>
  <si>
    <t>Steckdose Küche erweitern</t>
  </si>
  <si>
    <t>Reparaturarbeiten Dach</t>
  </si>
  <si>
    <t>Suhrke</t>
  </si>
  <si>
    <t>20.07.201</t>
  </si>
  <si>
    <t>Überprüfung der TAE-Dosen</t>
  </si>
  <si>
    <t>3.OG</t>
  </si>
  <si>
    <t>Fehling</t>
  </si>
  <si>
    <t>Balkonboden streichen</t>
  </si>
  <si>
    <t>Vogt</t>
  </si>
  <si>
    <t>Beleuchtung defekt</t>
  </si>
  <si>
    <t>Schwartz</t>
  </si>
  <si>
    <t xml:space="preserve">CS </t>
  </si>
  <si>
    <t>Lazaridis</t>
  </si>
  <si>
    <t>Fußleiste-Fenster nachstellen</t>
  </si>
  <si>
    <t>Keller</t>
  </si>
  <si>
    <t>EG li</t>
  </si>
  <si>
    <t>KW-Leitung undicht</t>
  </si>
  <si>
    <t>siehe 258</t>
  </si>
  <si>
    <t>Krutz</t>
  </si>
  <si>
    <t>2 Fenster nachstellen Wohnen</t>
  </si>
  <si>
    <t>Anschluß Feuchtraumventilator</t>
  </si>
  <si>
    <t>Kratz</t>
  </si>
  <si>
    <t>E-Check, Reparatur Herdanschlußdose</t>
  </si>
  <si>
    <t>8-818</t>
  </si>
  <si>
    <t xml:space="preserve">Mieterkeller </t>
  </si>
  <si>
    <t>div.</t>
  </si>
  <si>
    <t>Kellerbeleuchtungen Mieterkeller defekt</t>
  </si>
  <si>
    <t xml:space="preserve">KW </t>
  </si>
  <si>
    <t>3. OG mitte</t>
  </si>
  <si>
    <t>Topcu</t>
  </si>
  <si>
    <t>Rolladen Schlafzimmer hängt fest, Austausch Rolladenband</t>
  </si>
  <si>
    <t>Rolladen Müllers</t>
  </si>
  <si>
    <t>Fiebig</t>
  </si>
  <si>
    <t>Klingelanlage (auch gesamt) überprüfen</t>
  </si>
  <si>
    <t>Waschraum kein Strom auf 2. Steckdose</t>
  </si>
  <si>
    <t>Wandfliesen Gäste WC lose</t>
  </si>
  <si>
    <t>Kalinisch</t>
  </si>
  <si>
    <t>Albert</t>
  </si>
  <si>
    <t>Austausch HWB mir Armatur</t>
  </si>
  <si>
    <t>Suhrmeyer</t>
  </si>
  <si>
    <t>3 Steckdosen defekt</t>
  </si>
  <si>
    <t>Neuer Durchlauferhitzer</t>
  </si>
  <si>
    <t>Schalter defekt</t>
  </si>
  <si>
    <t>Stolz</t>
  </si>
  <si>
    <t>Küchenabfluss verstopft</t>
  </si>
  <si>
    <t>Müller</t>
  </si>
  <si>
    <t>Klingel funktioniert nicht mehr</t>
  </si>
  <si>
    <t>Überprüfung TG beleuchtung</t>
  </si>
  <si>
    <t>Schützenstr.</t>
  </si>
  <si>
    <t>SW-Strang undicht</t>
  </si>
  <si>
    <t xml:space="preserve">Pfalzstraße </t>
  </si>
  <si>
    <t>Schimmel Wintergarten entfernen</t>
  </si>
  <si>
    <t>Rohrverstopfung Bad, Wasser kommt in Badewanne hoch</t>
  </si>
  <si>
    <t>Glaubitz</t>
  </si>
  <si>
    <t>Gegensprechanlage überprüfen und ggf. austauschen</t>
  </si>
  <si>
    <t>3. OG</t>
  </si>
  <si>
    <t>Wiese</t>
  </si>
  <si>
    <t>Türöffner funktioniert nicht</t>
  </si>
  <si>
    <t>Schulte</t>
  </si>
  <si>
    <t>WW-Gerät für Gästetoiletten</t>
  </si>
  <si>
    <t>SW-Leitung undicht</t>
  </si>
  <si>
    <t>Müllschacht</t>
  </si>
  <si>
    <t>Betonkranz ausgebrochen</t>
  </si>
  <si>
    <t>Funger</t>
  </si>
  <si>
    <t>Diverses zur Neuvermietung</t>
  </si>
  <si>
    <t>Neumühler 41</t>
  </si>
  <si>
    <t>Krawiec</t>
  </si>
  <si>
    <t>Getriebeaustausch beim Fenster</t>
  </si>
  <si>
    <t>Hoftor</t>
  </si>
  <si>
    <t>Kostenvoranschlag nach Beschädigung durch Mieter Ekici</t>
  </si>
  <si>
    <t>Armatur Gäste WC-Toilette Hebeglocke</t>
  </si>
  <si>
    <t>H.A.</t>
  </si>
  <si>
    <t>Rohrbruch KW</t>
  </si>
  <si>
    <t>Muhn</t>
  </si>
  <si>
    <t xml:space="preserve">Balkontür muss nachgestellt werden </t>
  </si>
  <si>
    <t xml:space="preserve">Bum </t>
  </si>
  <si>
    <t>EG vorne</t>
  </si>
  <si>
    <t>Berezowski</t>
  </si>
  <si>
    <t>Abdeckungen Steckdosen Unity anbringen</t>
  </si>
  <si>
    <t>Neumühler Str. 39</t>
  </si>
  <si>
    <t>Grenczyk</t>
  </si>
  <si>
    <t>Austausch H Automaten gg. B Automaten</t>
  </si>
  <si>
    <t>Gerresheimer Landstraße 152</t>
  </si>
  <si>
    <t>Heizung kann nicht eingeschaltet werden</t>
  </si>
  <si>
    <t>Austausch Rollade gem.Angebot 185158AO</t>
  </si>
  <si>
    <t>Metzerstraße 17</t>
  </si>
  <si>
    <t>Dachrinne</t>
  </si>
  <si>
    <t>Dachrinne säubern</t>
  </si>
  <si>
    <t>Dachrinnen.com</t>
  </si>
  <si>
    <t>Brouwers</t>
  </si>
  <si>
    <t>Therme Störung</t>
  </si>
  <si>
    <t>Neumann</t>
  </si>
  <si>
    <t>Schützenstraße 20</t>
  </si>
  <si>
    <t>Huckels</t>
  </si>
  <si>
    <t>Fa. Blum</t>
  </si>
  <si>
    <t>UG li</t>
  </si>
  <si>
    <t>Ahmadi</t>
  </si>
  <si>
    <t>DEH defekt</t>
  </si>
  <si>
    <t>Venhorst/Seggewiß</t>
  </si>
  <si>
    <t>E-Check, Fenster einstellen, Wasserabfluß Waschbecken prüfen, Folien Bad und Wohnzimmertür erneuern</t>
  </si>
  <si>
    <t>Sacha</t>
  </si>
  <si>
    <t>HK-Ventil Bad undicht</t>
  </si>
  <si>
    <t>FBH woird nicht warm</t>
  </si>
  <si>
    <t>Klingelanlage</t>
  </si>
  <si>
    <t>Tastenmodul defekt</t>
  </si>
  <si>
    <t>Austausch Fensterdichtung Schlafen</t>
  </si>
  <si>
    <t>Ayar</t>
  </si>
  <si>
    <t>Fliesenerhöhung Bereich Badewanne</t>
  </si>
  <si>
    <t>Thomas</t>
  </si>
  <si>
    <t>Spülung WC-Kasten läuft durch</t>
  </si>
  <si>
    <t>Koppelskamp 10 Eingang</t>
  </si>
  <si>
    <t>Hauseingang außen</t>
  </si>
  <si>
    <t>Wepen- oder Hornissennest entfernen</t>
  </si>
  <si>
    <t>erledigt</t>
  </si>
  <si>
    <t>3.OG mi</t>
  </si>
  <si>
    <t>Rollladenbänder Wohnen/Schlafen gerissen</t>
  </si>
  <si>
    <t>WHG 5</t>
  </si>
  <si>
    <t>Gisbert</t>
  </si>
  <si>
    <t>HKV undicht</t>
  </si>
  <si>
    <t>kein WW Bad - DHB defekt ?</t>
  </si>
  <si>
    <t>Fenster einklotzen</t>
  </si>
  <si>
    <t>Neumühler Str. 41</t>
  </si>
  <si>
    <t>Krishnakumar</t>
  </si>
  <si>
    <r>
      <t xml:space="preserve">WC austauschen </t>
    </r>
    <r>
      <rPr>
        <sz val="11"/>
        <color rgb="FFFF0000"/>
        <rFont val="Calibri"/>
        <family val="2"/>
        <scheme val="minor"/>
      </rPr>
      <t>Ergänzung: Armaturaustausch; CS</t>
    </r>
  </si>
  <si>
    <t>Badewanne neu versiegeln</t>
  </si>
  <si>
    <t>Oktay</t>
  </si>
  <si>
    <t>Austausch Steckdosen Kinderzimmer</t>
  </si>
  <si>
    <t xml:space="preserve">2. OG </t>
  </si>
  <si>
    <t>Siller</t>
  </si>
  <si>
    <t>Klingelanlage defekt</t>
  </si>
  <si>
    <t>Dr. Kohlert</t>
  </si>
  <si>
    <t>Wasserschaden über Ablauf Wanne</t>
  </si>
  <si>
    <t>Steckdose Diele o. Strom, Telekomans. o.F.</t>
  </si>
  <si>
    <t>Alte Bachstraße 25</t>
  </si>
  <si>
    <t>1. OG a</t>
  </si>
  <si>
    <t>Mombers/ Mertens</t>
  </si>
  <si>
    <t>Klingel funktioniert nicht (Mombers), neue Steckdose für ein schnurloses Telefon (Mertens)</t>
  </si>
  <si>
    <t>Hülsiek</t>
  </si>
  <si>
    <t>Eine Steckdose WZ defekt, Unitymediakabel anbringen</t>
  </si>
  <si>
    <t>5. OG c</t>
  </si>
  <si>
    <t xml:space="preserve">E-Check, Mieter hat selber einen Kabelanschluß im Schlafzimmer verlegt, </t>
  </si>
  <si>
    <t>Spiegel in der Dusch entfernen, Dichtigung Wohnzimmertür anbringen; Badezimmerlampe austauschen; Klebereste an der  Badezimmertür entfernen, Fenster fetten und einstellen; Blindrosette für KW Vorrichtigung im Bad einbauen(neben Toilette)</t>
  </si>
  <si>
    <t>koloniestraße</t>
  </si>
  <si>
    <t>2. OG mitte</t>
  </si>
  <si>
    <t>kellerbeleuchtung am Kellereingang außen defekt</t>
  </si>
  <si>
    <t xml:space="preserve">Pflazstraße </t>
  </si>
  <si>
    <t>Lichtschalter Bad defekt</t>
  </si>
  <si>
    <t>Mieterkeller 5</t>
  </si>
  <si>
    <t>1. OG c</t>
  </si>
  <si>
    <t>Verbindung zwischen Waschbecken und Abflussrohr ist abgerissen</t>
  </si>
  <si>
    <t>Kiziltas</t>
  </si>
  <si>
    <t>Leckage Bereich Seite Toilette</t>
  </si>
  <si>
    <t>Mieterkeller 10</t>
  </si>
  <si>
    <t>Prüfung Anschluß Strom an Zähler - Lüftung</t>
  </si>
  <si>
    <t>Elektro - T30 Türe - Filter</t>
  </si>
  <si>
    <t>EG/1.OG re</t>
  </si>
  <si>
    <t>Gewert-Förster</t>
  </si>
  <si>
    <t>Vor-, Rücklauf HK vertauscht</t>
  </si>
  <si>
    <t>Steckdose zwischen Wohnen u. Essen o.Funktion</t>
  </si>
  <si>
    <t>Kaltwasserleitung undicht</t>
  </si>
  <si>
    <t>Choinka</t>
  </si>
  <si>
    <t>ein KK entlüftet</t>
  </si>
  <si>
    <t>defekte Absperung WW Zirk. Erneuert</t>
  </si>
  <si>
    <t>im WZ - HK Ventil gangbar gemacht, entlüftet</t>
  </si>
  <si>
    <t>Knäpper</t>
  </si>
  <si>
    <t>Dimmerungsschalter im Wohnzimmer anbringen</t>
  </si>
  <si>
    <t>Rauschenberger</t>
  </si>
  <si>
    <t>Fallstrang Küche/bad verstopft</t>
  </si>
  <si>
    <t>Versiegelung Küche Bodenfliesen erneuern</t>
  </si>
  <si>
    <t xml:space="preserve">Treppenhaus </t>
  </si>
  <si>
    <t>alle</t>
  </si>
  <si>
    <t>Taubenspikes in allen Wohnungen und Treppenhaus anbrinen, Fußmatten neu, Wandregal im Eingangsbereich anbringen, Raumdüfte aufstellen</t>
  </si>
  <si>
    <t>Untertischgerät defekt</t>
  </si>
  <si>
    <t>Wohnzimmer Fenster nachstellen</t>
  </si>
  <si>
    <t xml:space="preserve">schloßstraße </t>
  </si>
  <si>
    <t xml:space="preserve">2. OG li </t>
  </si>
  <si>
    <t xml:space="preserve">Austausch Badewannenarmatur </t>
  </si>
  <si>
    <t>Duschstange anbringen</t>
  </si>
  <si>
    <t>4. OG r</t>
  </si>
  <si>
    <t>Hansteen</t>
  </si>
  <si>
    <t>E-Check, kleine Malerarbeiten</t>
  </si>
  <si>
    <t>43-046</t>
  </si>
  <si>
    <t>Neumühlerstr.</t>
  </si>
  <si>
    <t>Lichtschranke anpassen</t>
  </si>
  <si>
    <t>Hoppergarten 17</t>
  </si>
  <si>
    <t>DG re</t>
  </si>
  <si>
    <t>RW-Fallleitung undicht</t>
  </si>
  <si>
    <t>Stromleitung von Fa. Neumann angebohrt</t>
  </si>
  <si>
    <t>Neumühlerstr. 41</t>
  </si>
  <si>
    <t>Serhan</t>
  </si>
  <si>
    <t>Austausch Badlüfter gegen Feuchtr., Versieg. Wanne</t>
  </si>
  <si>
    <t>DG vl</t>
  </si>
  <si>
    <t>Wantz</t>
  </si>
  <si>
    <t>Kontrolle einer Unitymediadose</t>
  </si>
  <si>
    <t>Lintorfer waldstr. 10</t>
  </si>
  <si>
    <t>FBH-verteiler gespült</t>
  </si>
  <si>
    <t>Treppenhaus 2. OG</t>
  </si>
  <si>
    <t>Treppenhausbeleuchtung defekt</t>
  </si>
  <si>
    <t>Kieth</t>
  </si>
  <si>
    <t>Druckspüler defekt, tropft</t>
  </si>
  <si>
    <t>Merget Diel</t>
  </si>
  <si>
    <t>Wasserschaden durch lose Fliesen Bad</t>
  </si>
  <si>
    <t>Haustüre</t>
  </si>
  <si>
    <t>Neuanstrich</t>
  </si>
  <si>
    <t>Koslowski</t>
  </si>
  <si>
    <t>Fahrstuhl</t>
  </si>
  <si>
    <t>Reparaturarbeiten Mängel TÜV</t>
  </si>
  <si>
    <t>Balkonanschluß zur Küche defekt</t>
  </si>
  <si>
    <t>Lips</t>
  </si>
  <si>
    <t>43-46</t>
  </si>
  <si>
    <t>Neumühler 35-41</t>
  </si>
  <si>
    <t xml:space="preserve">Dachrinnenreinigung  </t>
  </si>
  <si>
    <t>s. Nr. 4</t>
  </si>
  <si>
    <t>EG</t>
  </si>
  <si>
    <t>Truong</t>
  </si>
  <si>
    <t>WC-Urinale undicht</t>
  </si>
  <si>
    <t>Grundkanal verstopft Bereich Fettabscheider</t>
  </si>
  <si>
    <t>Schützenstr</t>
  </si>
  <si>
    <t>1. OG r</t>
  </si>
  <si>
    <t>Umrüsten von 25 Amper auf 16 Amper</t>
  </si>
  <si>
    <t>Austausch Rollladenwickler</t>
  </si>
  <si>
    <t>Halfpapp</t>
  </si>
  <si>
    <t>Sprechanlage defekt - Austausch</t>
  </si>
  <si>
    <t>Bismarckstr.</t>
  </si>
  <si>
    <t>Bad - Toilette Drückertaste erneuern</t>
  </si>
  <si>
    <t>Kozup/Offmann</t>
  </si>
  <si>
    <t>Kontrolle des Lüfters im Bad</t>
  </si>
  <si>
    <t>Neanderstr.</t>
  </si>
  <si>
    <t>RW-Fallleitung verstopft</t>
  </si>
  <si>
    <t>Kranzstr</t>
  </si>
  <si>
    <t>Mangel Einlaufspalt Türflügel</t>
  </si>
  <si>
    <t>Overlach</t>
  </si>
  <si>
    <t>Koppelskamp 7a</t>
  </si>
  <si>
    <t>GTW</t>
  </si>
  <si>
    <t>Faßbender</t>
  </si>
  <si>
    <t>FI_Schalter fliegt ständig raus</t>
  </si>
  <si>
    <t xml:space="preserve">Kölner Landstraße </t>
  </si>
  <si>
    <t>Mündelheimerstr. 3</t>
  </si>
  <si>
    <t>Harrer</t>
  </si>
  <si>
    <t>Toilette undicht</t>
  </si>
  <si>
    <t>Lindenstr.</t>
  </si>
  <si>
    <t>1.OG li</t>
  </si>
  <si>
    <t xml:space="preserve">Küche umsetzen </t>
  </si>
  <si>
    <t>Luisenstr.</t>
  </si>
  <si>
    <t>Untersuchung Leckage Ursache ggfs. Gäste WC</t>
  </si>
  <si>
    <t>Küche Elektroarbeiten  Dunstabzug-Steckd.</t>
  </si>
  <si>
    <t>Stockkampstraße</t>
  </si>
  <si>
    <t xml:space="preserve">4.OG li </t>
  </si>
  <si>
    <t>Müjde</t>
  </si>
  <si>
    <t>Balkontürverriegelung defekt, neuer Griff vorhanden</t>
  </si>
  <si>
    <t xml:space="preserve">Blum </t>
  </si>
  <si>
    <t>Balkontür weist zentimeterbreiten Spalt auf, 3 übrige Fenster nicht mehr passgenau</t>
  </si>
  <si>
    <t>Kein warmes Wasser Waschbecken Bad, Autogeyser springt nicht an</t>
  </si>
  <si>
    <t>Leckage, betroffen DG li-WHG</t>
  </si>
  <si>
    <t>Wenderholm</t>
  </si>
  <si>
    <t xml:space="preserve">Dachrinne undicht Seite Strasse </t>
  </si>
  <si>
    <t>Driburger Straße 8</t>
  </si>
  <si>
    <t xml:space="preserve">3. OG li </t>
  </si>
  <si>
    <t>Bajrami-Patti</t>
  </si>
  <si>
    <t>Roßstraße 9</t>
  </si>
  <si>
    <t>3. OG re</t>
  </si>
  <si>
    <t>Rolfes/Ninchritz</t>
  </si>
  <si>
    <t>Steckdose für die Waschmaschine hat keinen Strom</t>
  </si>
  <si>
    <t>Alte Bachstr. 25</t>
  </si>
  <si>
    <t>5 A/Hausanschlußraum</t>
  </si>
  <si>
    <t>Gisbertz</t>
  </si>
  <si>
    <t>komplette Sicherungen außer Betrieb nehmen</t>
  </si>
  <si>
    <t>nicht erforderlich da der Zylinder der Wohnungstür ausgetauscht wurde 16.01.19CS</t>
  </si>
  <si>
    <t>Nöllgen</t>
  </si>
  <si>
    <t>WZ-Fenster nachstellen</t>
  </si>
  <si>
    <t>Austausch der Standtoilette/Spülkasten</t>
  </si>
  <si>
    <t>Ghara</t>
  </si>
  <si>
    <t>Sicherung fliegt raus Betätigung Werbetafel</t>
  </si>
  <si>
    <t>Türdrücker defekt</t>
  </si>
  <si>
    <t>Kölnerstr. 17</t>
  </si>
  <si>
    <t>Therme Umschlagventil festsitzend, Raumthermostat eingestellt</t>
  </si>
  <si>
    <t>HAST</t>
  </si>
  <si>
    <t>Austausch Verglasung Fenster KD</t>
  </si>
  <si>
    <t>Neanderstraße 4</t>
  </si>
  <si>
    <t>Schulz</t>
  </si>
  <si>
    <t>mittlerer Rolladen im Wohnzimmer läßt sich nicht schließen</t>
  </si>
  <si>
    <t>Kusidlo</t>
  </si>
  <si>
    <t xml:space="preserve">1. OG li </t>
  </si>
  <si>
    <t>2. OG li</t>
  </si>
  <si>
    <t>2 Küchenwände streichen Schimmel</t>
  </si>
  <si>
    <t>Grundreinigung</t>
  </si>
  <si>
    <t>o. Funktion, Stillstand im SG</t>
  </si>
  <si>
    <t>Thyssen</t>
  </si>
  <si>
    <t>4.OG re</t>
  </si>
  <si>
    <t>Schelske</t>
  </si>
  <si>
    <t>Therme Störung Gasgeruch</t>
  </si>
  <si>
    <t>Moreno</t>
  </si>
  <si>
    <t>defektes Schalterprogramm erneuern</t>
  </si>
  <si>
    <t>Wolff</t>
  </si>
  <si>
    <t>Schlafzimmerfenster nachstellen</t>
  </si>
  <si>
    <t>Von Löwenstern</t>
  </si>
  <si>
    <t>Türöffner defekt und Kellerbeleuchtung nachrüsten</t>
  </si>
  <si>
    <t xml:space="preserve">Austausch DFF  </t>
  </si>
  <si>
    <t>4.OG a</t>
  </si>
  <si>
    <t>Lancucki</t>
  </si>
  <si>
    <t>E-Check, Namensschilder anbringen</t>
  </si>
  <si>
    <t>Rohrbruch Küche</t>
  </si>
  <si>
    <t>nach Rohrbruch Wände schliessen</t>
  </si>
  <si>
    <t>Riegelstörung KG beseitigen</t>
  </si>
  <si>
    <t>3. OG l</t>
  </si>
  <si>
    <t>Ekici</t>
  </si>
  <si>
    <t>Backofen in mitvermieteten Küche defekt</t>
  </si>
  <si>
    <t>Meller/Dorok</t>
  </si>
  <si>
    <t>zwei Armaturen defekt - Austausch</t>
  </si>
  <si>
    <t>Lautsprecher am Türöffner defekt</t>
  </si>
  <si>
    <t>Memelstraße 43</t>
  </si>
  <si>
    <t>Küsters</t>
  </si>
  <si>
    <t>WZ Jalousieband gerissen</t>
  </si>
  <si>
    <t>Ventil an der Heizung im Bad defekt</t>
  </si>
  <si>
    <t>1. OG li</t>
  </si>
  <si>
    <t>Schmid</t>
  </si>
  <si>
    <t>Therme tropft</t>
  </si>
  <si>
    <t>Pumpe defekt</t>
  </si>
  <si>
    <t>Lichtschranke Tor anpassen</t>
  </si>
  <si>
    <t>Ennounine/Janz</t>
  </si>
  <si>
    <t>Balkontürgriff defekt</t>
  </si>
  <si>
    <t>1.OG d Nr. 7</t>
  </si>
  <si>
    <t>Kahat</t>
  </si>
  <si>
    <t>Heizungsrohrbruch (mit Schelle repariert)</t>
  </si>
  <si>
    <t>Schmeing</t>
  </si>
  <si>
    <t>Therme Störung Abgaswerte zu hoch</t>
  </si>
  <si>
    <t>Mendelsohnstraße</t>
  </si>
  <si>
    <t>Dauerbeleuchtung lässt sich nicht ausschlaten</t>
  </si>
  <si>
    <t>3. OG rechts</t>
  </si>
  <si>
    <t>Osman</t>
  </si>
  <si>
    <t>Einbau Magnetschalter Fenster, Dunstabzug defekt</t>
  </si>
  <si>
    <t>Schäfer</t>
  </si>
  <si>
    <t>Wohnen Sachabdichtung Ecke Kamin undicht</t>
  </si>
  <si>
    <t>Golla Austausch Thermostatköpfe WZ/Küche</t>
  </si>
  <si>
    <t>abgetrocknete Dachschräge nachstreichen</t>
  </si>
  <si>
    <t>Balkonabsturzsicherung zu tief</t>
  </si>
  <si>
    <t>Balkonbelag erneuern</t>
  </si>
  <si>
    <t>Mau</t>
  </si>
  <si>
    <t>Versiegelung Balkon erneuern</t>
  </si>
  <si>
    <t>Rückseite</t>
  </si>
  <si>
    <t>RW-Leitung Anbau zu Fallstrang undicht</t>
  </si>
  <si>
    <t>Fassade</t>
  </si>
  <si>
    <t>links</t>
  </si>
  <si>
    <t>RW-Leitung zu Fallrohr undicht</t>
  </si>
  <si>
    <t>Stockkampstr.</t>
  </si>
  <si>
    <t>Silkens</t>
  </si>
  <si>
    <t>Engerstr.</t>
  </si>
  <si>
    <t>Janz</t>
  </si>
  <si>
    <t>Oberteil - Perlator erneuern</t>
  </si>
  <si>
    <t>Kashani</t>
  </si>
  <si>
    <t>Therme kontrollieren, kein warmes Wasser mehr, Wartung mit ausführen</t>
  </si>
  <si>
    <t>Bericht Nr.</t>
  </si>
  <si>
    <t>Kölnerland</t>
  </si>
  <si>
    <t>Engerstr</t>
  </si>
  <si>
    <t>Lindenstr</t>
  </si>
  <si>
    <t>3-5. OG</t>
  </si>
  <si>
    <t>Objekt</t>
  </si>
  <si>
    <t>Anschrift</t>
  </si>
  <si>
    <t>PLZ</t>
  </si>
  <si>
    <t>Ort</t>
  </si>
  <si>
    <t>Zuständig</t>
  </si>
  <si>
    <t>Gruppe</t>
  </si>
  <si>
    <t>Düsseldorf</t>
  </si>
  <si>
    <t>Löchner Immobilien GmbH&amp;Co.KG</t>
  </si>
  <si>
    <t>Pfalzstraße 17</t>
  </si>
  <si>
    <t>Neanderstraße 15</t>
  </si>
  <si>
    <t>Engerstraße 3</t>
  </si>
  <si>
    <t>Kölner Landstraße 261</t>
  </si>
  <si>
    <t>Kölner Straße 215</t>
  </si>
  <si>
    <t>Viersen</t>
  </si>
  <si>
    <t>Mönchengladbach-Lürrip</t>
  </si>
  <si>
    <t>Broicherdorfstraße 3</t>
  </si>
  <si>
    <t>Kaarst</t>
  </si>
  <si>
    <t>Grafenberger Allee 235</t>
  </si>
  <si>
    <t>Börnestraße 2</t>
  </si>
  <si>
    <t>Koppelskamp 8</t>
  </si>
  <si>
    <t>Löchner Grundbesitz I GmbH&amp;Co.KG</t>
  </si>
  <si>
    <t>Duisburg</t>
  </si>
  <si>
    <t>Angermunder Straße 30</t>
  </si>
  <si>
    <t>Lintorfer Waldstraße 6</t>
  </si>
  <si>
    <t>Lintorfer Waldstraße 8</t>
  </si>
  <si>
    <t>Lintorfer Waldstraße 10</t>
  </si>
  <si>
    <t>Koloniestraße 205</t>
  </si>
  <si>
    <t>Metzer Straße 28</t>
  </si>
  <si>
    <t>Metzer Straße 28a</t>
  </si>
  <si>
    <t>Metzer Straße 17</t>
  </si>
  <si>
    <t>Neumühler Straße 37</t>
  </si>
  <si>
    <t>Mündelheimer Straße 3-5</t>
  </si>
  <si>
    <t>Mendelsohnstraße 3</t>
  </si>
  <si>
    <t>Angermunder Straße 69</t>
  </si>
  <si>
    <t>Angermunder Straße 71</t>
  </si>
  <si>
    <t>20-192</t>
  </si>
  <si>
    <t xml:space="preserve">Objekt Nr. </t>
  </si>
  <si>
    <t xml:space="preserve">Adresse: </t>
  </si>
  <si>
    <t xml:space="preserve">WHG: </t>
  </si>
  <si>
    <t xml:space="preserve">Mieter: </t>
  </si>
  <si>
    <t xml:space="preserve">Ausgestellt durch: </t>
  </si>
  <si>
    <t xml:space="preserve">Telefon Nr. </t>
  </si>
  <si>
    <t xml:space="preserve">Weitergeleitet an: </t>
  </si>
  <si>
    <t xml:space="preserve">Datum: </t>
  </si>
  <si>
    <t xml:space="preserve">Tätigkeit Beschreibung: </t>
  </si>
  <si>
    <t>A</t>
  </si>
  <si>
    <t xml:space="preserve">Termin vereinbart: </t>
  </si>
  <si>
    <t xml:space="preserve">Arbeitszeit (von/bis): </t>
  </si>
  <si>
    <t xml:space="preserve">Mitarbeiter Name: </t>
  </si>
  <si>
    <t>Empfänger:</t>
  </si>
  <si>
    <t>r@loechner-capital.de</t>
  </si>
  <si>
    <t xml:space="preserve">(Datum/Uhrzeit) </t>
  </si>
  <si>
    <t xml:space="preserve">_________ /______ Uhr </t>
  </si>
  <si>
    <t xml:space="preserve">von _______bis________ Uhr </t>
  </si>
  <si>
    <t>___________________________</t>
  </si>
  <si>
    <t xml:space="preserve">Material: </t>
  </si>
  <si>
    <t>Mehr Info bzgl. Tätigkeit:</t>
  </si>
  <si>
    <t>Zu erledigen am:</t>
  </si>
  <si>
    <r>
      <t>Auftrag abgeschlossen durch:</t>
    </r>
    <r>
      <rPr>
        <sz val="12"/>
        <color theme="1"/>
        <rFont val="Calibri"/>
        <family val="2"/>
        <scheme val="minor"/>
      </rPr>
      <t xml:space="preserve">  ________________________________</t>
    </r>
  </si>
  <si>
    <t xml:space="preserve">Notiz: </t>
  </si>
  <si>
    <t>Scheulen, Hermann</t>
  </si>
  <si>
    <t>Schlenke, Christiane</t>
  </si>
  <si>
    <t>Christiane Schlenke</t>
  </si>
  <si>
    <t>Tel. 0211 522884-21</t>
  </si>
  <si>
    <t>c.schlenke@athome-immo.de</t>
  </si>
  <si>
    <t>C.Schlenke</t>
  </si>
  <si>
    <t>Herrmann Scheulen</t>
  </si>
  <si>
    <t>Tel. 0211 522884-13</t>
  </si>
  <si>
    <t>Mobile: 0151-151 551 02</t>
  </si>
  <si>
    <t>h.scheulen@loechner-immo.de</t>
  </si>
  <si>
    <t>H.Scheulen</t>
  </si>
  <si>
    <t>Name</t>
  </si>
  <si>
    <t>Email</t>
  </si>
  <si>
    <t>Frequenz</t>
  </si>
  <si>
    <t>Wensing, Karen</t>
  </si>
  <si>
    <t>Karen Wensing</t>
  </si>
  <si>
    <t>Tel. 0211 522884-22</t>
  </si>
  <si>
    <t>k.wensing@athome-immo.de</t>
  </si>
  <si>
    <t>K.Wensing</t>
  </si>
  <si>
    <t>Löchner, Moritz</t>
  </si>
  <si>
    <t>Moritz Löchner</t>
  </si>
  <si>
    <t>Tel. 0211 522884-10</t>
  </si>
  <si>
    <t>moritz.loechner@loechner-immo.de</t>
  </si>
  <si>
    <t>moritz.loechner</t>
  </si>
  <si>
    <t>andreas.stachon66@arcor.de</t>
  </si>
  <si>
    <t>hausmeister.schnitzler@gmail.com</t>
  </si>
  <si>
    <t>info@alfons-weber-gmbh.com</t>
  </si>
  <si>
    <t>altbausanierung@jensgroten.de</t>
  </si>
  <si>
    <t>info@fensterservice-blum.de</t>
  </si>
  <si>
    <t>h.j.menzel@arcor.de</t>
  </si>
  <si>
    <t>info@immerath-gmbh.de</t>
  </si>
  <si>
    <t>h.neumann_gmbh@t-online.de</t>
  </si>
  <si>
    <t>TH</t>
  </si>
  <si>
    <t>timhentschel38@gmail.com</t>
  </si>
  <si>
    <t>a.drezek@gmx.de</t>
  </si>
  <si>
    <t>info@achternbosch-kaarst.de</t>
  </si>
  <si>
    <t>info@rother-tore.de</t>
  </si>
  <si>
    <t>info@wbh-dachdeckerei.de</t>
  </si>
  <si>
    <t>andreas.stachon66@arcor.de; hausmeister.schnitzler@gmail.com</t>
  </si>
  <si>
    <t>tjuchem@aol.com</t>
  </si>
  <si>
    <t>kontakt@mainz-elektro.de</t>
  </si>
  <si>
    <t>TK</t>
  </si>
  <si>
    <t>dwingartz@mailisis.de</t>
  </si>
  <si>
    <t>team@rolladen-muellers.de</t>
  </si>
  <si>
    <t>info@aufzugtechnik-schott.de</t>
  </si>
  <si>
    <t>info@stoetzel-rolladen.de</t>
  </si>
  <si>
    <t>Koch</t>
  </si>
  <si>
    <t>i.koch@bodenbelag-koch.de</t>
  </si>
  <si>
    <t>Leenen</t>
  </si>
  <si>
    <t>ST/AS</t>
  </si>
  <si>
    <t>info@elektrosahin.de</t>
  </si>
  <si>
    <t>metallbau-hess@web.de</t>
  </si>
  <si>
    <t>Bernaisch</t>
  </si>
  <si>
    <t>Plociennick</t>
  </si>
  <si>
    <t>TH/AS</t>
  </si>
  <si>
    <t>timhentschel38@gmail.com; andreas.stachon66@arcor.de</t>
  </si>
  <si>
    <t>TH und ST</t>
  </si>
  <si>
    <t>timhentschel38@gmail.com; hausmeister.schnitzler@gmail.com</t>
  </si>
  <si>
    <t>Bum</t>
  </si>
  <si>
    <t>DRR COM</t>
  </si>
  <si>
    <t>Theo May</t>
  </si>
  <si>
    <t>WBD Dachdecker</t>
  </si>
  <si>
    <t>Tomasz</t>
  </si>
  <si>
    <t>Wallenborn</t>
  </si>
  <si>
    <t>WBH</t>
  </si>
  <si>
    <t>Kochs</t>
  </si>
  <si>
    <t xml:space="preserve">Auftrag Nr. </t>
  </si>
  <si>
    <t>Telefon Nr.</t>
  </si>
  <si>
    <t>L</t>
  </si>
  <si>
    <t>Zeitraum für die Ausführung:</t>
  </si>
  <si>
    <t>Termine sind, soweit es sich um vermietete Wohnungen handelt, direkt mit den Mietern abzustimmen.</t>
  </si>
  <si>
    <t>Bei Leerstandwohnungen erfolgt eine Schlüsselübergabe.</t>
  </si>
  <si>
    <t xml:space="preserve">Auf allen Rechnungen ist die Auftragsnummer/Strasse/Ort und Wohnung aufzuführen. </t>
  </si>
  <si>
    <t>Mit freundlichen Grüßen</t>
  </si>
  <si>
    <t>Kittelbachstrasse 10</t>
  </si>
  <si>
    <t>40489 Düsseldorf</t>
  </si>
  <si>
    <t>Fax: 0211 522884-19</t>
  </si>
  <si>
    <t>Fa. Drezek</t>
  </si>
  <si>
    <t>info@glasschmelzer.de</t>
  </si>
  <si>
    <t>info@rohrreinigung-jeroschewski.de</t>
  </si>
  <si>
    <t>kozlowskijob@gmail.com</t>
  </si>
  <si>
    <t>info@glas-scholl.de</t>
  </si>
  <si>
    <t>Küppers</t>
  </si>
  <si>
    <t>info@schreinerei-kueppers.de</t>
  </si>
  <si>
    <t>Kunze</t>
  </si>
  <si>
    <t>info@marmor-kunze.de</t>
  </si>
  <si>
    <t>dpsschluesseldienst@gmail.com</t>
  </si>
  <si>
    <t>Daschner</t>
  </si>
  <si>
    <t>auftragsannahme@daschner-gmbh.de</t>
  </si>
  <si>
    <t>vanacken@lustauffarbe.info</t>
  </si>
  <si>
    <t>Asbestos</t>
  </si>
  <si>
    <t>info@aspestosgruppe.de</t>
  </si>
  <si>
    <t>Kozlowski</t>
  </si>
  <si>
    <t>Matter</t>
  </si>
  <si>
    <t>kontakt@schreinerei-matter.de</t>
  </si>
  <si>
    <t>Neite</t>
  </si>
  <si>
    <t>d.grueter@neite-gmbh.de</t>
  </si>
  <si>
    <t>Auftrag</t>
  </si>
  <si>
    <t>https://loechnercapital.sharepoint.com/sites/Hausverwaltung/Freigegebene Dokumente/General/Organisation - V - M - F/Aufträge Übersicht - Instandhaltung/Aufträge PDF</t>
  </si>
  <si>
    <t>keine RG</t>
  </si>
  <si>
    <t>Schneider</t>
  </si>
  <si>
    <t>Eckventil / Armatur / Spülkasten HWB Bad defekt</t>
  </si>
  <si>
    <t>Cönmez</t>
  </si>
  <si>
    <t>Fensterscharnier Küche gebrochen</t>
  </si>
  <si>
    <t>Lintorfer Wladstraße 10</t>
  </si>
  <si>
    <t>TV-Anschlussdosen auf Kabel umrüsten in SZ und KZ</t>
  </si>
  <si>
    <t>Hoppengarten 15 17</t>
  </si>
  <si>
    <t>Dachrinnenreinigung</t>
  </si>
  <si>
    <t>Lopez</t>
  </si>
  <si>
    <t>Hiezkörper im KD-Zimmer bleibt warm</t>
  </si>
  <si>
    <t>Geschoreck</t>
  </si>
  <si>
    <t>Austausch Waschtischarmatur/ E-Check</t>
  </si>
  <si>
    <t>1. Ebene Mieterkeller 3. OG 17 D Kellerbezeichnung</t>
  </si>
  <si>
    <t>Kellerbeleuchtung vorm Mieterkeller 3. OG 17D hat einen Wackelkontkakt</t>
  </si>
  <si>
    <t>cs</t>
  </si>
  <si>
    <t>Wasser wird nur warm und nicht heiß</t>
  </si>
  <si>
    <t>neues Sat-Kabel verlegen zum Raum Strasse</t>
  </si>
  <si>
    <t>3. OG d</t>
  </si>
  <si>
    <t>Wohnungsräumung und Entsorgung</t>
  </si>
  <si>
    <t>5. OG a</t>
  </si>
  <si>
    <t xml:space="preserve">Kleine </t>
  </si>
  <si>
    <t>Austausch Spülkasten</t>
  </si>
  <si>
    <t>Abdulla</t>
  </si>
  <si>
    <t xml:space="preserve">Beleuchtung Mieterkeller </t>
  </si>
  <si>
    <t>Wagner</t>
  </si>
  <si>
    <t>Austausch Wannenarmatur</t>
  </si>
  <si>
    <t>Plempe</t>
  </si>
  <si>
    <t>Toilette im Bad austauschen</t>
  </si>
  <si>
    <t>Austausch / Reparatur DFF nach Sturmschaden</t>
  </si>
  <si>
    <t>Austausch Fallrohr an der Winkelstelle</t>
  </si>
  <si>
    <t>Maybaum</t>
  </si>
  <si>
    <t>Ertüchtigung Elektroanschlüsse Küche</t>
  </si>
  <si>
    <t>Aussenanlage nach Brandschutzvorschrift herrichten</t>
  </si>
  <si>
    <t>TH +TG</t>
  </si>
  <si>
    <t>Treppenhausbeleuchtung 1. OG + Röhre TG defekt</t>
  </si>
  <si>
    <t>Lüfter-, heizungsrohrabdeckung abgeflogen</t>
  </si>
  <si>
    <t>Robel</t>
  </si>
  <si>
    <t>Bodenabschlußschiene, Sprechanlage verlegen</t>
  </si>
  <si>
    <t>Erdung Kabelschiene prüfen</t>
  </si>
  <si>
    <t>5.OG a - 24</t>
  </si>
  <si>
    <t>Ertüchtigung-Reparaturarbeiten nach Auszug</t>
  </si>
  <si>
    <t>Heese</t>
  </si>
  <si>
    <t>Aussenputz-Fenster nachstreichen</t>
  </si>
  <si>
    <t>Allgemein</t>
  </si>
  <si>
    <t>Stahltüren Wartung</t>
  </si>
  <si>
    <t xml:space="preserve">Brüstung Balkon-Boden nachstreichen, </t>
  </si>
  <si>
    <t>Hansjürgens</t>
  </si>
  <si>
    <t>Möck</t>
  </si>
  <si>
    <t xml:space="preserve">Fensterbeschlag defekt Schlafzimmer  </t>
  </si>
  <si>
    <t>DFF SP Austausch Sturmschaden</t>
  </si>
  <si>
    <t>May</t>
  </si>
  <si>
    <t>EG SZ - Rollladenband gerissen, Fenster nachst.</t>
  </si>
  <si>
    <t>Schlafzimmerfenster  und Balkontür defekt</t>
  </si>
  <si>
    <t>Mörkens</t>
  </si>
  <si>
    <t>Decke Dunstabzug nachstreichen</t>
  </si>
  <si>
    <t>Beleuchtung Zuwegung</t>
  </si>
  <si>
    <t>s. 205</t>
  </si>
  <si>
    <t>Eternitplatte abgeflogen am Kamin</t>
  </si>
  <si>
    <t>2. OG l</t>
  </si>
  <si>
    <t>Lindemann/Jacek</t>
  </si>
  <si>
    <t>E-Check; Silikon an der Badewanne erneuern</t>
  </si>
  <si>
    <t>Mütje</t>
  </si>
  <si>
    <t>Schalter-Taster Klinkel erneuert</t>
  </si>
  <si>
    <t>Balkontür lässt sich nicht mehr öffnen</t>
  </si>
  <si>
    <t>Störung gasfeuerungsautomat defekt</t>
  </si>
  <si>
    <t>Pantléon</t>
  </si>
  <si>
    <t>Getriebe an der Balkontür defekt</t>
  </si>
  <si>
    <t>Jacek</t>
  </si>
  <si>
    <t>Austausch Standtoilette-Sifon oder WT Armatur</t>
  </si>
  <si>
    <t>Teil Decke Wohnen streichen, Versiegelung u. Fugen Wannenbereich ertüchtigen</t>
  </si>
  <si>
    <t>DG App</t>
  </si>
  <si>
    <t>HK - Toilettenspülung - diverse</t>
  </si>
  <si>
    <t>Schiffsarmatur Beleuchtung zu SP beschädigt</t>
  </si>
  <si>
    <t>Reparatur Veluxfenster Küche</t>
  </si>
  <si>
    <t>s. A139</t>
  </si>
  <si>
    <t>nach Rohrbruch über 1.OG Decke schliessen</t>
  </si>
  <si>
    <t>T30 Türen</t>
  </si>
  <si>
    <t>Einbau von Obentürschliesser</t>
  </si>
  <si>
    <t>nach Einbau Türen, Kabel verlegen</t>
  </si>
  <si>
    <t>Schiller</t>
  </si>
  <si>
    <t>Austausch Ventil und Thermostatkopf im großen Gewerberaum und im hinteren mit Ausgang zum Treppenhaus</t>
  </si>
  <si>
    <t>E-Check; Versiegelung im Badezimmer</t>
  </si>
  <si>
    <t xml:space="preserve">Hof </t>
  </si>
  <si>
    <t>Wasseranschluß Ventil undicht</t>
  </si>
  <si>
    <t>Rosetten Wannenarmatur versiegeln</t>
  </si>
  <si>
    <t>Gebäuderückseite Platten zum Klinker bereich nicht gepflastert einbauen wegen Ratten</t>
  </si>
  <si>
    <t>Balkon Holzverkleidung Rückbau</t>
  </si>
  <si>
    <t>Rohrbruch ggfs. Schlafen Heizungsleitung</t>
  </si>
  <si>
    <t>Maler-Tapezierarbeiten nach Einbau neuer Innentüren</t>
  </si>
  <si>
    <t>KW leitung am Bogen undicht</t>
  </si>
  <si>
    <t>Hoppengarten 15 und 17</t>
  </si>
  <si>
    <t>Glaubitz, Hein, Felden</t>
  </si>
  <si>
    <t>Absperrhahn im WC defekt, bei Felden geht Absperrung nicht auf</t>
  </si>
  <si>
    <t>Beleuchtung Zeitschalt funktioniert nicht</t>
  </si>
  <si>
    <t>Bünger</t>
  </si>
  <si>
    <t>Badezimmertüre kürzen</t>
  </si>
  <si>
    <t>1. OG li/3. OG re/Treppenhaus</t>
  </si>
  <si>
    <t>Flock/Veronese</t>
  </si>
  <si>
    <t>WZ-Fenster nachstellen, Treppenhausfenster 1.-3. Etage nachstellen/schleifen</t>
  </si>
  <si>
    <t>3.OG hi</t>
  </si>
  <si>
    <t>Matthesius</t>
  </si>
  <si>
    <t>Al Rifai</t>
  </si>
  <si>
    <t>Armatur HWB defekt</t>
  </si>
  <si>
    <t>Loch Wand Schlafen Heizungsleitung schliessen</t>
  </si>
  <si>
    <t>RWA Taster EG zu hoch</t>
  </si>
  <si>
    <t>We</t>
  </si>
  <si>
    <t xml:space="preserve">E-Check </t>
  </si>
  <si>
    <t>Appartements</t>
  </si>
  <si>
    <t>Reparatur Veluxfenster Küche und Bad</t>
  </si>
  <si>
    <t>Franzen</t>
  </si>
  <si>
    <t>Duschwanne einmauern</t>
  </si>
  <si>
    <t>Herbers</t>
  </si>
  <si>
    <t>Rohrverstopfung RW unter Bodenplatte</t>
  </si>
  <si>
    <t>neben H.A</t>
  </si>
  <si>
    <t>Kerchagio</t>
  </si>
  <si>
    <t>Gitter für Zuluftöffnung Technik Funkmaste KG</t>
  </si>
  <si>
    <t>Mieterkeller 1.OG re</t>
  </si>
  <si>
    <t>Sifon Guß für RW-Ableitung mit Reinigung einbauen</t>
  </si>
  <si>
    <t>Balkonbrüstung streichen, Wanne versiegeln</t>
  </si>
  <si>
    <t>Frantzen</t>
  </si>
  <si>
    <t>Nach Wasserschaden Einbau einer neuen Duschwanne</t>
  </si>
  <si>
    <t>Verlegung Bodenbelag Vinyl</t>
  </si>
  <si>
    <t>Saiyon-Xiao</t>
  </si>
  <si>
    <t>Therme Abgaswerte zu hoch</t>
  </si>
  <si>
    <t>Bodenfliesen Küche und Abst.-Raum</t>
  </si>
  <si>
    <t>Elektroarbeiten</t>
  </si>
  <si>
    <t xml:space="preserve">Einbau Fertigparkett Schlafen </t>
  </si>
  <si>
    <t xml:space="preserve">CE-Steckdose für Fernwärme vorrichten, </t>
  </si>
  <si>
    <t>Fa. Sahin</t>
  </si>
  <si>
    <t>Böttger Leißau</t>
  </si>
  <si>
    <t>nach Wasserschaden Öffnung im Bad schliessen</t>
  </si>
  <si>
    <t>nach Wasserschaden Wand-Deckenbereich nachstreichen</t>
  </si>
  <si>
    <t>nach Wasserschaden Ursache Dusche - Wände nachstreichen Wohnen-Diele</t>
  </si>
  <si>
    <t>Schroeder</t>
  </si>
  <si>
    <t>Wassereintritt RW kleiner Raum Seite Strasse</t>
  </si>
  <si>
    <t>WHG 24</t>
  </si>
  <si>
    <t>Bodenaustausch Laminat Wohnen</t>
  </si>
  <si>
    <t>4. OG rechts</t>
  </si>
  <si>
    <t>Sahnoun/Yari</t>
  </si>
  <si>
    <t>E-Check, Kontrolle der Versiegelung im Bad</t>
  </si>
  <si>
    <t>Tiefgaragentor</t>
  </si>
  <si>
    <t>1. OG rechst</t>
  </si>
  <si>
    <t>König</t>
  </si>
  <si>
    <t>Wohnzimmerfenster hakt sich aus</t>
  </si>
  <si>
    <t>Überprüfung Halterung Markise wg Wassereintritt bei Starkregen, der unterhalb wieder ausläuft</t>
  </si>
  <si>
    <t>1.+2.+4. OG re</t>
  </si>
  <si>
    <t>Kechagia, Selemidis, Urosevic</t>
  </si>
  <si>
    <t xml:space="preserve">1+2. OG: Einbau jew. Einer thermischen Abgasklappe an Threme, 4. OG: CO Gehalt zu hoch </t>
  </si>
  <si>
    <t>Hillmann</t>
  </si>
  <si>
    <t>SZ Fenster, linke Seite Glasscheibe im Rahmen locker</t>
  </si>
  <si>
    <t>Dachrinne undicht oder verstopft</t>
  </si>
  <si>
    <t>UG links</t>
  </si>
  <si>
    <t>Wartung Fäkalienhebeanlage</t>
  </si>
  <si>
    <t>Lakatos</t>
  </si>
  <si>
    <t>Austausch WC, Austausch Waschbecken im Bad mit Armatur, Anbringung Untertischgerät Küche</t>
  </si>
  <si>
    <t>Therme zeigt Fehler 28 an, evtl. Mieterverschulden</t>
  </si>
  <si>
    <t>Beseitigung der Mängel gemäß TÜV Bericht</t>
  </si>
  <si>
    <t>Heckenrückschnitt</t>
  </si>
  <si>
    <t>Rohrverstopfung in der Küche</t>
  </si>
  <si>
    <t>Außentor</t>
  </si>
  <si>
    <t>Tor lässt sich nicht mehr öffnen und schließen</t>
  </si>
  <si>
    <t>Triebverksraum</t>
  </si>
  <si>
    <t>Austausch Beleuchtung, s. TÜV Bericht</t>
  </si>
  <si>
    <t>2. OG b</t>
  </si>
  <si>
    <t>Scholten-Loschinski</t>
  </si>
  <si>
    <t>HK-Ventil Wohnen defekt</t>
  </si>
  <si>
    <t>Undichtigkeit Leitung Bereich Pumpe</t>
  </si>
  <si>
    <t>Fensterscheibe Wohnen blind</t>
  </si>
  <si>
    <t>Fliesenspiegel Reparatur</t>
  </si>
  <si>
    <t>Lüfterfilter Bad/WC Austausch, Fenster nachstellen</t>
  </si>
  <si>
    <t>Einfahrt</t>
  </si>
  <si>
    <t>Erneuerung der Steuerung</t>
  </si>
  <si>
    <t>Störung beim Herunterfahren</t>
  </si>
  <si>
    <t>Schliffke</t>
  </si>
  <si>
    <t>Balkontür Schließmechanismus kaputt</t>
  </si>
  <si>
    <t>Flurbeleuchtung ertüchtigen</t>
  </si>
  <si>
    <t xml:space="preserve">Rollladentaster, </t>
  </si>
  <si>
    <t>Balkonbelag Fliesen erneuern</t>
  </si>
  <si>
    <t>Decke Bad nacharbeiten, Beseitigung Wasserschaden Dachschräge Wohnen</t>
  </si>
  <si>
    <t>R.-Wickler WZ erneuert</t>
  </si>
  <si>
    <t>KW/HS</t>
  </si>
  <si>
    <t>Elektroarbeiten Rückbau alter Leitungen</t>
  </si>
  <si>
    <t>Rohrverstopfung</t>
  </si>
  <si>
    <t>Rohrbruch Bad</t>
  </si>
  <si>
    <t>E-Check, Reinigung der Steckdosen</t>
  </si>
  <si>
    <t>2. OG</t>
  </si>
  <si>
    <t>Kischakt</t>
  </si>
  <si>
    <t>Getriebe am Fenster defekt, Wohnzimmer</t>
  </si>
  <si>
    <t>5. OG A</t>
  </si>
  <si>
    <t>Chmielewski</t>
  </si>
  <si>
    <t>Untertischgerät anbringen; Spülmaschinanschluß anbringen; 1 Rauchmelder anbringen</t>
  </si>
  <si>
    <t>Kopflöcher für Neuverlegung kabel schachten</t>
  </si>
  <si>
    <t>Toilettenraum</t>
  </si>
  <si>
    <t>Rohrbruch KW-Leitung</t>
  </si>
  <si>
    <t>Pantleon</t>
  </si>
  <si>
    <t>Wasserschaden Küchendecke beseitigen, ursache Mieter 1.OG re</t>
  </si>
  <si>
    <t>Mattar</t>
  </si>
  <si>
    <t>Schlafen Fenster nicht zu öffnen</t>
  </si>
  <si>
    <t>E-Check - neues Schalterprogramm</t>
  </si>
  <si>
    <t>neue Rollladenbänder</t>
  </si>
  <si>
    <t>Zuluftautomaten/Verdunklungsrollos</t>
  </si>
  <si>
    <t>Zugang</t>
  </si>
  <si>
    <t>Ausbrüche Betonboden</t>
  </si>
  <si>
    <t>Balkon säubern, diverse Arbeiten</t>
  </si>
  <si>
    <t>Botes</t>
  </si>
  <si>
    <t>Wandöffnung schliessen</t>
  </si>
  <si>
    <t>6. B</t>
  </si>
  <si>
    <t>2. OG D</t>
  </si>
  <si>
    <t>2. OG B</t>
  </si>
  <si>
    <t>Resch</t>
  </si>
  <si>
    <t>Neue Duschtüre</t>
  </si>
  <si>
    <t>entfällt</t>
  </si>
  <si>
    <t>Küche Bodenfliesen, Wände Q3</t>
  </si>
  <si>
    <t>1.OG C-06</t>
  </si>
  <si>
    <t xml:space="preserve">Beschlag Fenster Schlafen links gebrochen </t>
  </si>
  <si>
    <t>Austausch Toilette/Brausekopf/Therm</t>
  </si>
  <si>
    <t>Lichtschalter nicht mehr vorhanden</t>
  </si>
  <si>
    <t>Rückflußverhinderer defekt</t>
  </si>
  <si>
    <t>Wohnung streichen</t>
  </si>
  <si>
    <t>nach Wasserschaden Wände Beiputz-streichen, Fliesen</t>
  </si>
  <si>
    <t>Neuer Durchlauferhitzer Küche</t>
  </si>
  <si>
    <t>Undichtigkeit Wasserhahn Waschraum</t>
  </si>
  <si>
    <t>Kopierraum Fensterflügel schließt nicht</t>
  </si>
  <si>
    <t>WHG 31</t>
  </si>
  <si>
    <t>Prell</t>
  </si>
  <si>
    <t>Badmodernisierung</t>
  </si>
  <si>
    <t>Kühne</t>
  </si>
  <si>
    <t>Balkontüre nachstellen</t>
  </si>
  <si>
    <t>Mieterkeller EG re</t>
  </si>
  <si>
    <t>Mieterkeller neuer Sifon RW einbauen</t>
  </si>
  <si>
    <t>Vinylboden verlegen</t>
  </si>
  <si>
    <t>Pohl/Grunwald</t>
  </si>
  <si>
    <t>Markisenkurbel, Öse für Kurbelstange gebrochen</t>
  </si>
  <si>
    <t>Fallrohre</t>
  </si>
  <si>
    <t>Fallrohre Einbau Regenrohrlappe mit laubfang</t>
  </si>
  <si>
    <t>1. OG e</t>
  </si>
  <si>
    <t>Olian</t>
  </si>
  <si>
    <t>Keller 2. OG re</t>
  </si>
  <si>
    <t>Löcher im Boden zuspachteln und Regal ausbauen</t>
  </si>
  <si>
    <t xml:space="preserve"> 28-01</t>
  </si>
  <si>
    <t>Furgol</t>
  </si>
  <si>
    <t>Verlegung Herdanschluß - Dunstabzuganschluß Decke mit Blinddeckel versehen</t>
  </si>
  <si>
    <t>Austausch Abschlußleiste Fußboden</t>
  </si>
  <si>
    <t>Badmodernisierung Elektroarbeiten</t>
  </si>
  <si>
    <t>Fuge zwischen Fußboden und Fußleiste versiegeln</t>
  </si>
  <si>
    <t>Steckdose Terrasse Wackelkontakt</t>
  </si>
  <si>
    <t>Schreiber</t>
  </si>
  <si>
    <t>Telefondose befestigen</t>
  </si>
  <si>
    <t>RW-Fallrohr verstopft</t>
  </si>
  <si>
    <t>neue Toilettenbrille und Duschvorhangstange montieren</t>
  </si>
  <si>
    <t>Diele N+F-Decke Rückbau, späterer Einbau</t>
  </si>
  <si>
    <t>3 er Steckdose Küche ersetzten</t>
  </si>
  <si>
    <t>ehem. Wasserfleck Abst.-R nachstreichen</t>
  </si>
  <si>
    <t>Ablage Wanne Fliesen erhöhen</t>
  </si>
  <si>
    <t>Sicherungen im Kasten, Treppenhaus beschriften</t>
  </si>
  <si>
    <t>Bewegungsmelder anbringen</t>
  </si>
  <si>
    <t xml:space="preserve">1. OG </t>
  </si>
  <si>
    <t>Bröker</t>
  </si>
  <si>
    <t>Kostenvoranschlag beschädigtes Glas in der Wohnzimmertür, 19.09.19 Zusage der Versicherung erhalten, Glas Scholl beauftragt</t>
  </si>
  <si>
    <t>Beleuchtung ertüchtigen</t>
  </si>
  <si>
    <t>Lösgen</t>
  </si>
  <si>
    <t>Balkonbelag verfault</t>
  </si>
  <si>
    <t>Vetter (schon leer)</t>
  </si>
  <si>
    <t>E-Check, 3 x Steckdosen mit Abdeckungen neu</t>
  </si>
  <si>
    <t>Balkonfenster Stulbgetriebe defekt; verschulden Mieter</t>
  </si>
  <si>
    <t>UG re</t>
  </si>
  <si>
    <t>Wartung Hebeanlage</t>
  </si>
  <si>
    <t>unterseitige Betonsanierung</t>
  </si>
  <si>
    <t>Treppenhaus 1. OG</t>
  </si>
  <si>
    <t>Fenster defekt, lässt sich nach Öffnen nicht mehr schließen</t>
  </si>
  <si>
    <t>Treppenhaus SG</t>
  </si>
  <si>
    <t>Auftrag Wandbeleuchtung weiter bearbeiten</t>
  </si>
  <si>
    <t>Außenbeleuchtung</t>
  </si>
  <si>
    <t>Frau Lindinger</t>
  </si>
  <si>
    <t>Beiputzen unter der Fensterbank Küche</t>
  </si>
  <si>
    <t>Herr Faßbender</t>
  </si>
  <si>
    <t>Überprüfung FI-Schalter</t>
  </si>
  <si>
    <t>4 x LED-Spot Bad und Entlüfter anbringen</t>
  </si>
  <si>
    <t>HK Ventile - Rosetten - Säuberung - RM - Fußleiste säubern</t>
  </si>
  <si>
    <t>Küche Elektroarbeiten,Wohnen Schlafen Unity</t>
  </si>
  <si>
    <r>
      <rPr>
        <strike/>
        <sz val="11"/>
        <color theme="1"/>
        <rFont val="Calibri"/>
        <family val="2"/>
        <scheme val="minor"/>
      </rPr>
      <t>Taubenspikes in allen Wohnungen und Treppenhaus anbrinen</t>
    </r>
    <r>
      <rPr>
        <sz val="11"/>
        <color theme="1"/>
        <rFont val="Calibri"/>
        <family val="2"/>
        <scheme val="minor"/>
      </rPr>
      <t>, Fußmatten neu, Wandregal im Eingangsbereich anbringen, Raumdüfte aufstellen</t>
    </r>
  </si>
  <si>
    <t>Austausch Wohnungstürbeschlag</t>
  </si>
  <si>
    <t>Haustüren</t>
  </si>
  <si>
    <t>025-027</t>
  </si>
  <si>
    <t>Erneuerung Rosetten-PZ Schloss</t>
  </si>
  <si>
    <t>Verlegung Unity-DG Zuleitung 220V</t>
  </si>
  <si>
    <t>Malik</t>
  </si>
  <si>
    <t>Türband Küche lose</t>
  </si>
  <si>
    <t>Kesselmann</t>
  </si>
  <si>
    <t>Küchenfliesen mit Steinzeugreiniger reinigen</t>
  </si>
  <si>
    <t>Heesemann</t>
  </si>
  <si>
    <t>FI Schalter überprüfen</t>
  </si>
  <si>
    <t>Regenrinnenreinigung</t>
  </si>
  <si>
    <t>Römer</t>
  </si>
  <si>
    <t>Kehle Dachgaube Wohnen undicht</t>
  </si>
  <si>
    <t>ehem. Wasserfleck Schornstein nachstreichen</t>
  </si>
  <si>
    <t>Austausch der Toilette Bad</t>
  </si>
  <si>
    <t>E-check;Türgriffe;Toilettendeckel</t>
  </si>
  <si>
    <t>ML</t>
  </si>
  <si>
    <t>AS/TH</t>
  </si>
  <si>
    <t>Waschbecken mit Armatur, Siphon und Spülkasten erneuern</t>
  </si>
  <si>
    <t>Taubenspikes Rückseite, Dachrinnenreinigung, Undichtigkeit Gaube 3.OG re</t>
  </si>
  <si>
    <t>nach Wasserschaden Gaube Wand nachstreichen</t>
  </si>
  <si>
    <t>Vorrichtung Duschvorhang anbringen</t>
  </si>
  <si>
    <t>Lüftung Entrauchung entfernen</t>
  </si>
  <si>
    <t>1.OG - DG</t>
  </si>
  <si>
    <t>nach Rückbau der Thermen, E-Anschluß Rückbau</t>
  </si>
  <si>
    <t>TG Rampe</t>
  </si>
  <si>
    <t>Brüstungsabdeckung Teilerneuerung</t>
  </si>
  <si>
    <t>Vordach 10-14</t>
  </si>
  <si>
    <t>Abdichtung erneuern</t>
  </si>
  <si>
    <t>neuer Griff Dachflächenfenster Küche</t>
  </si>
  <si>
    <t>Hausanschlußraum</t>
  </si>
  <si>
    <t>Treppenhausbeleuchtung ist dauerhaft an</t>
  </si>
  <si>
    <t>Rosetten/Thermostate HK</t>
  </si>
  <si>
    <t>Duschstange Badewanne erneuern</t>
  </si>
  <si>
    <t>Angermunder Str 30</t>
  </si>
  <si>
    <t>beide WCs undicht, Armatur Badewanne lässt sich nicht mehr einstellen, Schimmel im Bad an Decke, Außenwand bei starkem regen sehr nass</t>
  </si>
  <si>
    <t>Tür zum Balkon lässt sich nicht mehr öffenen</t>
  </si>
  <si>
    <t>klingel ist defekt, Gegensprechanlage funktioniert</t>
  </si>
  <si>
    <t>Kuck</t>
  </si>
  <si>
    <t>Telefondose defekt</t>
  </si>
  <si>
    <t>Heizung im Kinderzimmer wird nicht warm</t>
  </si>
  <si>
    <t>Selemidis</t>
  </si>
  <si>
    <t xml:space="preserve">Kombitherme heizt nicht </t>
  </si>
  <si>
    <t xml:space="preserve">Weber </t>
  </si>
  <si>
    <t>Rahmen Dachschrängenfenster weggefault, erneuern, möglicher Weise nur mit gesamtem Fenster möglich</t>
  </si>
  <si>
    <t>Nach Wasserschaden Ursache Dach, Eckbereich nachstreichen Raum Seite Strasse</t>
  </si>
  <si>
    <t xml:space="preserve">Dach </t>
  </si>
  <si>
    <t>Rückseite re</t>
  </si>
  <si>
    <t>Kehlanschluß undicht</t>
  </si>
  <si>
    <t>über 3.OG re</t>
  </si>
  <si>
    <t>Gaube Kupferabdeckung Kehle undicht</t>
  </si>
  <si>
    <t>Schlafen Vinylboden verlegt</t>
  </si>
  <si>
    <t>mittleres fenster Wohnen defekt</t>
  </si>
  <si>
    <t>Mieterkeller 11 3. links</t>
  </si>
  <si>
    <t>Lichtschalter reparieren-Kabel rausgerissen</t>
  </si>
  <si>
    <t>Versiegelung Badewanne erneuern</t>
  </si>
  <si>
    <t>2.OG</t>
  </si>
  <si>
    <t>Fritzen</t>
  </si>
  <si>
    <t>Austausch Fensterscheibe Rückseite</t>
  </si>
  <si>
    <t>Abgaswerte Therme zu hoch</t>
  </si>
  <si>
    <t>Austausch Dachflächenfenster Bad</t>
  </si>
  <si>
    <t>4. OG d</t>
  </si>
  <si>
    <t>Önal</t>
  </si>
  <si>
    <t>Wohnung ist ohne Strom</t>
  </si>
  <si>
    <t>Kontrolle Sicherungen/Elektroleitungen</t>
  </si>
  <si>
    <t>neuer Balkonbelag herstellen</t>
  </si>
  <si>
    <t>5a - WHG 24</t>
  </si>
  <si>
    <t>Austausch Durchlauferhitzer</t>
  </si>
  <si>
    <t>Versiegelung Wannenbereich erneuern</t>
  </si>
  <si>
    <t>neue Wohnungseingangstüre</t>
  </si>
  <si>
    <t>Seggewiß/Hein</t>
  </si>
  <si>
    <t>Kontrolle der Therme, kein warmes Wasser</t>
  </si>
  <si>
    <t>Frau Lainer</t>
  </si>
  <si>
    <t>Rohrverstopfung beseitigen</t>
  </si>
  <si>
    <t>Rohrbruch Heizungsleitung</t>
  </si>
  <si>
    <t>Überzüge auf TG abdichten</t>
  </si>
  <si>
    <t>Herr Schnell</t>
  </si>
  <si>
    <t>Austausch beschädigtes Ceranfeld</t>
  </si>
  <si>
    <t>Riutsch</t>
  </si>
  <si>
    <t>Schlafen HK-Anschluß undicht</t>
  </si>
  <si>
    <t>Nach Reparatur HK-Anschluß Fußleiste anbringen</t>
  </si>
  <si>
    <t>Lang</t>
  </si>
  <si>
    <t>verfärbtes Acryl an WDVS über Lüftungshaube entfernen</t>
  </si>
  <si>
    <t>Frehse</t>
  </si>
  <si>
    <t>Dunstabzugshaube Defekt</t>
  </si>
  <si>
    <t>Kessler/Schweda</t>
  </si>
  <si>
    <t>Repartur Steckdose Waschmaschinenanschluß</t>
  </si>
  <si>
    <t>von Schoenaich-Carolath</t>
  </si>
  <si>
    <t>Reparatur Durchlauferhitzer im Bad</t>
  </si>
  <si>
    <t>Anbringung Gardinenstange und Vorhänge</t>
  </si>
  <si>
    <t>Rückbau Lüftungsanlage</t>
  </si>
  <si>
    <t>2+4. OG</t>
  </si>
  <si>
    <t>Abholung Nachtspeicheröfen</t>
  </si>
  <si>
    <t>Spülkasten defekt, Austausch</t>
  </si>
  <si>
    <t>4.OG d - 22</t>
  </si>
  <si>
    <t>defektes 5L UT-Gerät austauschen</t>
  </si>
  <si>
    <t>Hof</t>
  </si>
  <si>
    <t>Loch im Erdreich Unterspülung schliessen</t>
  </si>
  <si>
    <t>Schönaich-Carolath</t>
  </si>
  <si>
    <t>DHB-defekt, Austausch</t>
  </si>
  <si>
    <t>Richtlick</t>
  </si>
  <si>
    <t>Heizkörper wird nur zu 1/5 warm</t>
  </si>
  <si>
    <t>Kujat</t>
  </si>
  <si>
    <t>Prüfung Mieterkeller Stromzuordnung</t>
  </si>
  <si>
    <t>Behebung Fehler der Außenbeleuchtung</t>
  </si>
  <si>
    <t>Austausch Boden in der Diele</t>
  </si>
  <si>
    <t>Beleuchtung austauschen da defekt</t>
  </si>
  <si>
    <t>Austausch Rollgittertor</t>
  </si>
  <si>
    <t>Elektroarbeiten Teilertüchtigung</t>
  </si>
  <si>
    <t>2-4.OG re</t>
  </si>
  <si>
    <t>Stemm-, u. Schlitzarbeiten</t>
  </si>
  <si>
    <t>Kurzschluß</t>
  </si>
  <si>
    <t>Jabin</t>
  </si>
  <si>
    <t>Beiputz-, Malerarbeiten nach Einbau von Innentüren</t>
  </si>
  <si>
    <t>SP</t>
  </si>
  <si>
    <t>Dach undicht - defekte Pfannen</t>
  </si>
  <si>
    <t>Fenster nachstellen, Oberboden ausbauen</t>
  </si>
  <si>
    <t>Steckdose setzen im Flur</t>
  </si>
  <si>
    <t>Türen zum Kinderzimmer und Küche überprüfen</t>
  </si>
  <si>
    <t>5. OG b</t>
  </si>
  <si>
    <t>Stegen</t>
  </si>
  <si>
    <t>Kontrolle nach Stromausfall am Wochenende</t>
  </si>
  <si>
    <t>Störung Heizung</t>
  </si>
  <si>
    <t>Rintsch</t>
  </si>
  <si>
    <t>Beiutz-Malerarbeiten nach Rohrbruch</t>
  </si>
  <si>
    <t>Schäffer</t>
  </si>
  <si>
    <t>Rolladengurt austauschen</t>
  </si>
  <si>
    <t>Mausour</t>
  </si>
  <si>
    <t>Fließgeräusche Heizkörper Wohnen/Kind</t>
  </si>
  <si>
    <t>Wasserschaden Diele Decke beheben</t>
  </si>
  <si>
    <t>Überprüfung Dach - Undichtigkeit</t>
  </si>
  <si>
    <t>Anbau</t>
  </si>
  <si>
    <t>Anschluß Stütze undicht</t>
  </si>
  <si>
    <t>Seite Strasse</t>
  </si>
  <si>
    <t>Anschluß Vorbau Raum Erker 3.OG re undicht</t>
  </si>
  <si>
    <t>Al Habasch</t>
  </si>
  <si>
    <t>Bad - Farbe auf Fliesen blättert ab</t>
  </si>
  <si>
    <t>Türkette anbringen</t>
  </si>
  <si>
    <t>Dachrinnen</t>
  </si>
  <si>
    <t>Dachrinne reinigen</t>
  </si>
  <si>
    <t>Rauchmelder in gesamter Wohnung  anbringen, Duschstange anbringen - vorhandene Schraube abflexen, Schimmel entfernen an Kabelkanal oberhalb der Tür</t>
  </si>
  <si>
    <t xml:space="preserve">2. OG mitte </t>
  </si>
  <si>
    <t>Fenstergriff WZ schwergängig, Wohnungseingangstürschließer schnappt nicht ein, Dusche verstopft, Spots im Bad reinigen o austauschen, Schraube Beschlag Bad-Tür fehlt, Einbau neues Waschbecken</t>
  </si>
  <si>
    <t>HK-Anschluß undicht</t>
  </si>
  <si>
    <t>Vienken</t>
  </si>
  <si>
    <t>Raumtemperaturregelung ohne Funktion</t>
  </si>
  <si>
    <t>Bestand</t>
  </si>
  <si>
    <t>Einbau eines Lüftungsschachtes Abluft</t>
  </si>
  <si>
    <t>Dach Strasse</t>
  </si>
  <si>
    <t>Kastenrinne undicht</t>
  </si>
  <si>
    <t>Schönbrodt</t>
  </si>
  <si>
    <t>Steckdosen Küche anbringen</t>
  </si>
  <si>
    <t>-</t>
  </si>
  <si>
    <t>Klingelanlage ist defekt</t>
  </si>
  <si>
    <t>Einbau Vinylboden</t>
  </si>
  <si>
    <t>Malerarbeiten</t>
  </si>
  <si>
    <t>Oberputz Bereich Zuluftöffnung ertüchtigen</t>
  </si>
  <si>
    <t>Anfertigung Fußleiste</t>
  </si>
  <si>
    <t>Kessler Frau</t>
  </si>
  <si>
    <t>Austausch Fensterglas Küche rechts</t>
  </si>
  <si>
    <t>Einbau neuer Zimmertüren</t>
  </si>
  <si>
    <t>Reparatur Oberfläche Zimmertüre Wohnen</t>
  </si>
  <si>
    <t>Pfannen defekt - Schieferplatte gelöst</t>
  </si>
  <si>
    <t>TG-Heizraum</t>
  </si>
  <si>
    <t>Löcher schliessen nach Rückbau WW-Leitungen</t>
  </si>
  <si>
    <t>Zylinder u. Griff Wohnungseingangstüre lose</t>
  </si>
  <si>
    <t>Rasenfläche Bereich Lüftungsschächte ertüchtigen</t>
  </si>
  <si>
    <t xml:space="preserve"> 28-05</t>
  </si>
  <si>
    <t>Manzambi</t>
  </si>
  <si>
    <t>gerissene Fliese im Stoßbereich beispachteln</t>
  </si>
  <si>
    <t>Austausch defektes DFF</t>
  </si>
  <si>
    <t>Unity</t>
  </si>
  <si>
    <t>Eigene Steckdose u. Absicherung anbringen</t>
  </si>
  <si>
    <t>Sicherung fliegt raus wenn der Boiler eingeschaltet wird</t>
  </si>
  <si>
    <t>Gaube Wohnen undicht</t>
  </si>
  <si>
    <t>Erdmann Ingenieure</t>
  </si>
  <si>
    <t>Erstellen eines Angebotes für Stromverlegung in TG</t>
  </si>
  <si>
    <t xml:space="preserve"> 28-09</t>
  </si>
  <si>
    <t>Czajka</t>
  </si>
  <si>
    <t>nach Wasserschaden Abhangdecke schließen und nachstreichen</t>
  </si>
  <si>
    <t>Eingangstüre zum Geschäft schwer zu öffnen</t>
  </si>
  <si>
    <t>Gaube undicht Flachdach</t>
  </si>
  <si>
    <t>Demontage verbauter Wärmezähler in Kooperation mit Brunata Metrona während Neumomontagen</t>
  </si>
  <si>
    <t>Krisnakuman</t>
  </si>
  <si>
    <t>Wasserschaden Rückseite Wohnzimmer</t>
  </si>
  <si>
    <t xml:space="preserve">nach Abtrocknung Wasserschaden Deckenteilbereich nachstreichen </t>
  </si>
  <si>
    <t>Fahrradhaus</t>
  </si>
  <si>
    <t>Bewegungsmelder versetzen</t>
  </si>
  <si>
    <t>HansJürgens</t>
  </si>
  <si>
    <t>feuchte Stelle Traufe nacharbeiten</t>
  </si>
  <si>
    <t>19-397</t>
  </si>
  <si>
    <t>Lüfterhaube Dunstabzug Rückbau</t>
  </si>
  <si>
    <t>19-398</t>
  </si>
  <si>
    <t>ggfs. Telefonleitung in der WHG defekt</t>
  </si>
  <si>
    <t>19-399</t>
  </si>
  <si>
    <t>Brauchwassertherme undicht</t>
  </si>
  <si>
    <t>19-400</t>
  </si>
  <si>
    <t>2. OG mi</t>
  </si>
  <si>
    <t>Eckert/Fries</t>
  </si>
  <si>
    <t>Klingelanlage überprüfen</t>
  </si>
  <si>
    <t>19-401</t>
  </si>
  <si>
    <t>Austausch der Wohnungseingangstüre</t>
  </si>
  <si>
    <t>19-402</t>
  </si>
  <si>
    <t>Kostenvoranschlag für beschädigtes Fenster</t>
  </si>
  <si>
    <t>19-403</t>
  </si>
  <si>
    <t>Therme zeitweise starke Geräusche</t>
  </si>
  <si>
    <t>19-404</t>
  </si>
  <si>
    <t>Scharnier Küchenfenster gebrochen</t>
  </si>
  <si>
    <t>19-405</t>
  </si>
  <si>
    <t>Austausch HWB-Armatur Bad</t>
  </si>
  <si>
    <t>19-406</t>
  </si>
  <si>
    <t>4 Dachpfannen defekt</t>
  </si>
  <si>
    <t>19-407</t>
  </si>
  <si>
    <t>Zinkabdeckungen herstellen Lüftungsfenster</t>
  </si>
  <si>
    <t>19-408</t>
  </si>
  <si>
    <t xml:space="preserve">5. OG </t>
  </si>
  <si>
    <t>Fiebig/Windsberg</t>
  </si>
  <si>
    <t>19-409</t>
  </si>
  <si>
    <t>Mutlu</t>
  </si>
  <si>
    <t>Küchenfenster läßt sich nicht schliessen</t>
  </si>
  <si>
    <t>19-410</t>
  </si>
  <si>
    <t>2.3.4 OG re - Allg.</t>
  </si>
  <si>
    <t>neue Zimmertüren der WE 2.-3.-4. OG re; neue Wohnungseingangstüren (bis auf DG)</t>
  </si>
  <si>
    <t>19-411</t>
  </si>
  <si>
    <t>Regelung defekt</t>
  </si>
  <si>
    <t>19-412</t>
  </si>
  <si>
    <t>Klein und Co.</t>
  </si>
  <si>
    <t>Klingel aus App. 1 in den Flur der Wohnung verlegen</t>
  </si>
  <si>
    <t>19-413</t>
  </si>
  <si>
    <t>HK-Ventil raum Seite Strasse defekt; Danvoss</t>
  </si>
  <si>
    <t>19-414</t>
  </si>
  <si>
    <t>5.OG re</t>
  </si>
  <si>
    <t>19-415</t>
  </si>
  <si>
    <t>Radke</t>
  </si>
  <si>
    <t>Verstopfung Handwaschbecken</t>
  </si>
  <si>
    <t>19-416</t>
  </si>
  <si>
    <t>2.OG mi</t>
  </si>
  <si>
    <t>DHB-defekt, Austausch, Bohrlöcher schliessen</t>
  </si>
  <si>
    <t>19-417</t>
  </si>
  <si>
    <t>19-418</t>
  </si>
  <si>
    <t>TG Dach</t>
  </si>
  <si>
    <t>Erhöhung Flachdachprofil Seite Eingang</t>
  </si>
  <si>
    <t>19-419</t>
  </si>
  <si>
    <t xml:space="preserve">Schreiber </t>
  </si>
  <si>
    <t>Wohn/Eßzimmer neuer Bodenbelag - Dielen</t>
  </si>
  <si>
    <t>19-420</t>
  </si>
  <si>
    <t>Rückbau Stabparkett</t>
  </si>
  <si>
    <t>TH/ST</t>
  </si>
  <si>
    <t>19-421</t>
  </si>
  <si>
    <t>2-4. OG re</t>
  </si>
  <si>
    <t>Einbau Bodenbelag Landhausdiele</t>
  </si>
  <si>
    <t>19-422</t>
  </si>
  <si>
    <t>EG re-1.OG re</t>
  </si>
  <si>
    <t>Entsorgung Nachtspeicheröfen</t>
  </si>
  <si>
    <t>19-423</t>
  </si>
  <si>
    <t>Bad Rohrverstopfung Toilette</t>
  </si>
  <si>
    <t>20-001</t>
  </si>
  <si>
    <t>Gaube Küche undicht</t>
  </si>
  <si>
    <t>20-002</t>
  </si>
  <si>
    <t>1. OG</t>
  </si>
  <si>
    <t>Springborn</t>
  </si>
  <si>
    <t>Klingel funktioniert nicht</t>
  </si>
  <si>
    <t>20-003</t>
  </si>
  <si>
    <t>Eingangspodest</t>
  </si>
  <si>
    <t>Stoßfugen Natursteinplatten erneuern</t>
  </si>
  <si>
    <t>20-004</t>
  </si>
  <si>
    <t>20-005</t>
  </si>
  <si>
    <t>Gauben</t>
  </si>
  <si>
    <t>20-006</t>
  </si>
  <si>
    <t>Raffstore Wohnen defekt</t>
  </si>
  <si>
    <t>20-007</t>
  </si>
  <si>
    <t>Schaukasten anbringen</t>
  </si>
  <si>
    <t>20-008</t>
  </si>
  <si>
    <t>Fußbodenheizung läßt sich nicht mehr regulieren, ist dauerhaft sehr warm</t>
  </si>
  <si>
    <t>20-009</t>
  </si>
  <si>
    <t>Fallrohr Seite Strasse rechts erneuern</t>
  </si>
  <si>
    <t>20-010</t>
  </si>
  <si>
    <t>20-011</t>
  </si>
  <si>
    <t>Nieto Pajero</t>
  </si>
  <si>
    <t>Sicherungen durchgebrannt, Kontrolle und Prüfung der Anschllüsse</t>
  </si>
  <si>
    <t>20-012</t>
  </si>
  <si>
    <t>Spüle Verstopfung</t>
  </si>
  <si>
    <t>20-013</t>
  </si>
  <si>
    <t>07-1.OG d</t>
  </si>
  <si>
    <t>Kharat</t>
  </si>
  <si>
    <t>bLUM</t>
  </si>
  <si>
    <t>20-014</t>
  </si>
  <si>
    <t>Leinen</t>
  </si>
  <si>
    <t>Fallstrangreinigung Toilette</t>
  </si>
  <si>
    <t>20-015</t>
  </si>
  <si>
    <t>Küchen-Deckenleuchte wieder anbringen</t>
  </si>
  <si>
    <t>20-016</t>
  </si>
  <si>
    <t>Heizkessel</t>
  </si>
  <si>
    <t>Leckage vor Anschluß Befüllung</t>
  </si>
  <si>
    <t>20-017</t>
  </si>
  <si>
    <t>Rüter</t>
  </si>
  <si>
    <t>Wandschlitz Rohrleitungsstrang schliessen</t>
  </si>
  <si>
    <t>20-018</t>
  </si>
  <si>
    <t>Aussenfliesen, Fugen teilweise erneuern</t>
  </si>
  <si>
    <t>20-019</t>
  </si>
  <si>
    <t>20-020</t>
  </si>
  <si>
    <t>Klingel außen funktioniert nicht</t>
  </si>
  <si>
    <t>20-021</t>
  </si>
  <si>
    <t>Mir</t>
  </si>
  <si>
    <t>Rückwand in der Küche anbringen, Anstrich</t>
  </si>
  <si>
    <t>20-022</t>
  </si>
  <si>
    <t>LaCastagnas</t>
  </si>
  <si>
    <t>20-023</t>
  </si>
  <si>
    <t>Natursteinplatte lose</t>
  </si>
  <si>
    <t>20-024</t>
  </si>
  <si>
    <t>Erneuerung Heizungsthermostat</t>
  </si>
  <si>
    <t>20-025</t>
  </si>
  <si>
    <t>Lainen</t>
  </si>
  <si>
    <t>Fenster WZ + Bad nachstellen</t>
  </si>
  <si>
    <t>20-026</t>
  </si>
  <si>
    <t>Wohnzimmertür abschleifen, Rauchmelder abnehmen, Fussboden Wohnzimmer kontrollieren, hebt sich an; Licht im Mieterkeller prüfen; wenn möglich Schlüssel für die Badezimmertür besorgen</t>
  </si>
  <si>
    <t>20-027</t>
  </si>
  <si>
    <t>Geräusche bei Bedienung</t>
  </si>
  <si>
    <t>20-028</t>
  </si>
  <si>
    <t>20-029</t>
  </si>
  <si>
    <t>2.OG links</t>
  </si>
  <si>
    <t>Ventil defekt</t>
  </si>
  <si>
    <t>20-030</t>
  </si>
  <si>
    <t>Fallrohr</t>
  </si>
  <si>
    <t>Erneuerung RW-Fallrohr linke Seite - Strassenseite</t>
  </si>
  <si>
    <t>20-031</t>
  </si>
  <si>
    <t>Glaubits</t>
  </si>
  <si>
    <t>defekte Absperrventil Küche abgestopft, Spülmaschine an Kombiventil angeschlossen</t>
  </si>
  <si>
    <t>20-032</t>
  </si>
  <si>
    <t>Treppenhausbeleuchtung lässt sich nicht mehr ausschalten</t>
  </si>
  <si>
    <t>20-033</t>
  </si>
  <si>
    <t>Stromverbauch seit Einbau DLE in EG links</t>
  </si>
  <si>
    <t>20-034</t>
  </si>
  <si>
    <t>Schiebetor</t>
  </si>
  <si>
    <t>Sicherung abschalten, soll vorübergehend nicht mehr betätigt werden</t>
  </si>
  <si>
    <t>20-035</t>
  </si>
  <si>
    <t>Dachpfannen defekt an 2 Stellen</t>
  </si>
  <si>
    <t>20-036</t>
  </si>
  <si>
    <t>Abfluß verstopft Küche</t>
  </si>
  <si>
    <t>20-037</t>
  </si>
  <si>
    <t>Einbau Feuchtraumventilator</t>
  </si>
  <si>
    <t>236E</t>
  </si>
  <si>
    <t>295 (291 vor Synchronisierung der Liste))</t>
  </si>
  <si>
    <t>Fallstrang re</t>
  </si>
  <si>
    <t>alle re</t>
  </si>
  <si>
    <t>Fallstrang rechte Seite verstopft</t>
  </si>
  <si>
    <t>335E</t>
  </si>
  <si>
    <t>3. OG a</t>
  </si>
  <si>
    <t xml:space="preserve">Klingel ist defekt </t>
  </si>
  <si>
    <t>20-038</t>
  </si>
  <si>
    <t>Einbau neuer Innentüren</t>
  </si>
  <si>
    <t>20-039</t>
  </si>
  <si>
    <t>Küche Bodenfliesen erneuern</t>
  </si>
  <si>
    <t>20-040</t>
  </si>
  <si>
    <t>Austausch einer Badewanne 170 x 70 cm</t>
  </si>
  <si>
    <t>20-041</t>
  </si>
  <si>
    <t>Nilgens</t>
  </si>
  <si>
    <t>20-042</t>
  </si>
  <si>
    <t>Ninchritz</t>
  </si>
  <si>
    <t>Durchlauferhitzer ist defekt</t>
  </si>
  <si>
    <t>20-043</t>
  </si>
  <si>
    <t>Sonnenschein Frau</t>
  </si>
  <si>
    <t>20-044</t>
  </si>
  <si>
    <t>Berger</t>
  </si>
  <si>
    <t>Wasserschaden Bad Wandflächen nachstreichen</t>
  </si>
  <si>
    <t>20-045</t>
  </si>
  <si>
    <t>Austausch Schiffsarmatur gegen Leuchtstofflampe</t>
  </si>
  <si>
    <t>20-046</t>
  </si>
  <si>
    <t>Schiebetor Prüfung (Reparatur erf)</t>
  </si>
  <si>
    <t>20-047</t>
  </si>
  <si>
    <t>Störung - Austausch Zugseil</t>
  </si>
  <si>
    <t>20-048</t>
  </si>
  <si>
    <t>Erneuerung der Markise</t>
  </si>
  <si>
    <t>20-049</t>
  </si>
  <si>
    <t>Druckabfall auf 0,8 bar</t>
  </si>
  <si>
    <t>20-050</t>
  </si>
  <si>
    <t>Tiefgarage</t>
  </si>
  <si>
    <t>Stellplatznummern Aufkleber anbringen</t>
  </si>
  <si>
    <t>20-051</t>
  </si>
  <si>
    <t>Jacek/Lindemann</t>
  </si>
  <si>
    <t>Balkonfenstertüre einstellen</t>
  </si>
  <si>
    <t>20-052</t>
  </si>
  <si>
    <t>Lacastagne</t>
  </si>
  <si>
    <t>Ergänzung zum E-Check</t>
  </si>
  <si>
    <t>20-053</t>
  </si>
  <si>
    <t>Rintsch Frau</t>
  </si>
  <si>
    <t>Balkontüre schließt nicht</t>
  </si>
  <si>
    <t xml:space="preserve">HS </t>
  </si>
  <si>
    <t>20-054</t>
  </si>
  <si>
    <t>Tor fährt nicht mehr runter</t>
  </si>
  <si>
    <t>20-055</t>
  </si>
  <si>
    <t>1. OG re</t>
  </si>
  <si>
    <t>Takyi Herr</t>
  </si>
  <si>
    <t>Störung Therme Heizbetrieb</t>
  </si>
  <si>
    <t>20-056</t>
  </si>
  <si>
    <t>20-057</t>
  </si>
  <si>
    <t>4er Modul austauschen</t>
  </si>
  <si>
    <t>20-058</t>
  </si>
  <si>
    <t>neue Zimmertüren</t>
  </si>
  <si>
    <t>20-059</t>
  </si>
  <si>
    <t>Steckdose anbringen</t>
  </si>
  <si>
    <t>20-060</t>
  </si>
  <si>
    <t>Shanoun/Yarai</t>
  </si>
  <si>
    <t>Fenster einstellen, Fenster undicht</t>
  </si>
  <si>
    <t>20-061</t>
  </si>
  <si>
    <t>Malerarbeiten der Wohnung</t>
  </si>
  <si>
    <t>20-062</t>
  </si>
  <si>
    <t>Radkte</t>
  </si>
  <si>
    <t>Fernsehbuchse anbringen</t>
  </si>
  <si>
    <t>20-063</t>
  </si>
  <si>
    <t>Frau Köhler</t>
  </si>
  <si>
    <t>Leitungen für Lich im Mieterkeller verlegen</t>
  </si>
  <si>
    <t>20-064</t>
  </si>
  <si>
    <t>Steckverbindung für Waschmaschine in der Küche anbringen, Rostflecken in und an der Badewanne beseitigen; Batterien für die Rauchmelder zur Verfügung stellen</t>
  </si>
  <si>
    <t>20-065</t>
  </si>
  <si>
    <t>Surmeyer</t>
  </si>
  <si>
    <t>Störung Brauchwassertherme</t>
  </si>
  <si>
    <t>20-066</t>
  </si>
  <si>
    <t>Lenzen</t>
  </si>
  <si>
    <t>Heizung außer Betrieb</t>
  </si>
  <si>
    <t>20-067</t>
  </si>
  <si>
    <t>Klingeltaster klemmt bzw. Schiefstellung</t>
  </si>
  <si>
    <t>20-068</t>
  </si>
  <si>
    <t>WC neues HWB, Armatur;Sifon;UP Ventil</t>
  </si>
  <si>
    <t>20-069</t>
  </si>
  <si>
    <t>Versopfung Ablauf Boden</t>
  </si>
  <si>
    <t>20-070</t>
  </si>
  <si>
    <t>Streblow Frau</t>
  </si>
  <si>
    <t>Küche Anschluß für Spül-, u. Waschmaschine herstellen, im Bereich unter Arbeitsplatte</t>
  </si>
  <si>
    <t>20-071</t>
  </si>
  <si>
    <t>20-072</t>
  </si>
  <si>
    <t>Casula Frau</t>
  </si>
  <si>
    <t>Rohrbruch Heizungsleitung Abst.-Raum Balkon</t>
  </si>
  <si>
    <t>20-073</t>
  </si>
  <si>
    <t>Klingelanlage prüfen, funktioniert nicht zuverlässig</t>
  </si>
  <si>
    <t>20-074</t>
  </si>
  <si>
    <t>nach Austausch der Wohnungseingangstüre, Nacharbeiten Maler</t>
  </si>
  <si>
    <t>20-075</t>
  </si>
  <si>
    <t>Lainer (Mutter)</t>
  </si>
  <si>
    <t>Bauteilöffnung schliessen; Bad; Fliesen</t>
  </si>
  <si>
    <t>20-076</t>
  </si>
  <si>
    <t>Botez</t>
  </si>
  <si>
    <t>Bad Wandöffnung schliessen</t>
  </si>
  <si>
    <t>20-077</t>
  </si>
  <si>
    <t>Steckdose für Hausnotruf anbringen</t>
  </si>
  <si>
    <t>20-078</t>
  </si>
  <si>
    <t>Aufputzabsperrventil lässt sich nicht mehr öffnen</t>
  </si>
  <si>
    <t>20-079</t>
  </si>
  <si>
    <t>Sahnoun Herr</t>
  </si>
  <si>
    <t>20-080</t>
  </si>
  <si>
    <t>Bouwer Frau</t>
  </si>
  <si>
    <t>Küchenfenster Getriebe defekt</t>
  </si>
  <si>
    <t>20-081</t>
  </si>
  <si>
    <t>Zink-Brüstungsabdeckung Balkon herstellen</t>
  </si>
  <si>
    <t>20-082</t>
  </si>
  <si>
    <t>Eder Frau</t>
  </si>
  <si>
    <t>Fenster nachstellen; Küche u. Arbeiten</t>
  </si>
  <si>
    <t>20-083</t>
  </si>
  <si>
    <t>Scheulen Frau</t>
  </si>
  <si>
    <t>Bad-Handtuchhalter anbringen</t>
  </si>
  <si>
    <t>20-084</t>
  </si>
  <si>
    <t>1. OG hinten</t>
  </si>
  <si>
    <t>E-Check, Toilettenbrille anbringen</t>
  </si>
  <si>
    <t>20-085</t>
  </si>
  <si>
    <t>Mir Frau</t>
  </si>
  <si>
    <t>Flur - Steckdose neben Telefonanschluß herstellen</t>
  </si>
  <si>
    <t>20-086</t>
  </si>
  <si>
    <t>Dachrinne undicht auch Haus Nr. 37</t>
  </si>
  <si>
    <t>20-087</t>
  </si>
  <si>
    <t>Dachrinne undicht auch Haus Nr. 28a</t>
  </si>
  <si>
    <t>20-088</t>
  </si>
  <si>
    <t>Stiemer Frau</t>
  </si>
  <si>
    <t>Gaube Küche Kehle undicht</t>
  </si>
  <si>
    <t>20-089</t>
  </si>
  <si>
    <t>nach Wasserschaden Gaube Wandfläche nachstreichen</t>
  </si>
  <si>
    <t>20-090</t>
  </si>
  <si>
    <t>2.OG Mi</t>
  </si>
  <si>
    <t>Al Rifai Herr</t>
  </si>
  <si>
    <t>neue Wohnungs-Sprechanlage</t>
  </si>
  <si>
    <t>20-091</t>
  </si>
  <si>
    <t>Dachrinne Strasse  undicht auch Haus Nr. 39</t>
  </si>
  <si>
    <t>20-092</t>
  </si>
  <si>
    <t>Günes Frau</t>
  </si>
  <si>
    <t xml:space="preserve">Dachrinne Strasse  undicht </t>
  </si>
  <si>
    <t>20-093</t>
  </si>
  <si>
    <t>Brustblech hinter Markise anbringen</t>
  </si>
  <si>
    <t>20-094</t>
  </si>
  <si>
    <t>Dämmerungsschalter Strassenseite einbauen</t>
  </si>
  <si>
    <t>20-095</t>
  </si>
  <si>
    <t>Sacha Frau</t>
  </si>
  <si>
    <t>Fenstergetriebe defekt - Raum Rückseite</t>
  </si>
  <si>
    <t>20-096</t>
  </si>
  <si>
    <t>KFE-Hahn erneuert</t>
  </si>
  <si>
    <t>20-097</t>
  </si>
  <si>
    <t>Therme Abgasrohr undicht</t>
  </si>
  <si>
    <t>20-098</t>
  </si>
  <si>
    <t>Lampenschirm im Aufzug ist runtergefallen und defekt</t>
  </si>
  <si>
    <t>20-099</t>
  </si>
  <si>
    <t>Fußleisten anbringen</t>
  </si>
  <si>
    <t>20-100</t>
  </si>
  <si>
    <t>Wasserspülung am WC läuft durch</t>
  </si>
  <si>
    <t>20-101</t>
  </si>
  <si>
    <t>Müdje</t>
  </si>
  <si>
    <t>nach Wasserschaden Erneuerung der Wannenversiegelung</t>
  </si>
  <si>
    <t>20-102</t>
  </si>
  <si>
    <t>Seggewiß-Hein Frau</t>
  </si>
  <si>
    <t>20-103</t>
  </si>
  <si>
    <t>DG 28-11</t>
  </si>
  <si>
    <t>Brol</t>
  </si>
  <si>
    <t>Abst.-Raum, Steckdose anbringen</t>
  </si>
  <si>
    <t>20-104</t>
  </si>
  <si>
    <t>Schulze/Stronicik</t>
  </si>
  <si>
    <t>Beim Anschalten des Backofens fliegt der FI raus</t>
  </si>
  <si>
    <t>20-105</t>
  </si>
  <si>
    <t>20-106</t>
  </si>
  <si>
    <t>Krenz Frau</t>
  </si>
  <si>
    <t>alle Lampen flackern, wenn der Lichtschalter im Flur betätigt wird, geht der Fernseher aus</t>
  </si>
  <si>
    <t>20-107</t>
  </si>
  <si>
    <t>4. OG re hinten</t>
  </si>
  <si>
    <t>Kelping/leer</t>
  </si>
  <si>
    <t>Schiene Türschwelle zum Wohnzimmer ist locker, Griff Duschabtrennung locker, Duschabtrennung sehr verkalkt,reinigen, Fliese an der Wand in der Küche nach Möglichkeit ersetzen</t>
  </si>
  <si>
    <t>20-108</t>
  </si>
  <si>
    <t>4. OG rechts hinten</t>
  </si>
  <si>
    <t>Licht im Kellerraum geht nicht</t>
  </si>
  <si>
    <t>20-109</t>
  </si>
  <si>
    <t xml:space="preserve">Bröker </t>
  </si>
  <si>
    <t>Dämmmanschette Abst.-R. Balkon anbringen</t>
  </si>
  <si>
    <t>20-110</t>
  </si>
  <si>
    <t>Traufe Unterspannbahn zur dachrinne angebracht</t>
  </si>
  <si>
    <t>20-111</t>
  </si>
  <si>
    <t>20-112</t>
  </si>
  <si>
    <t>Schiefer Gaube gelöst; Kamin lose teile entfernen; Kehle kontrollieren</t>
  </si>
  <si>
    <t>20-113</t>
  </si>
  <si>
    <t>Schlegel</t>
  </si>
  <si>
    <t>Filter; Fenster; Türblätter;Feuchtigkeit Sturz Wohnen</t>
  </si>
  <si>
    <t>20-114</t>
  </si>
  <si>
    <t>Klingeltaster Treppenhaus defekt</t>
  </si>
  <si>
    <t>20-115</t>
  </si>
  <si>
    <t>Türflügel Wohnen am Beschlag nicht anliegend</t>
  </si>
  <si>
    <t>20-116</t>
  </si>
  <si>
    <t>nach Korrektur der SW-Leitung Toilette, neue Toilette einmauern und Fliesen</t>
  </si>
  <si>
    <t>20-117</t>
  </si>
  <si>
    <t>lose Balkonfliesen einkleben</t>
  </si>
  <si>
    <t>20-118</t>
  </si>
  <si>
    <t>Störung ; keine Heizung und WW</t>
  </si>
  <si>
    <t>20-119</t>
  </si>
  <si>
    <t>AP-Leitungen UP verlegen</t>
  </si>
  <si>
    <t>20-120</t>
  </si>
  <si>
    <t>T30 Türe zu KG; Einbau Blindzylinder; Bodendichtung nachstellen</t>
  </si>
  <si>
    <t>20-121</t>
  </si>
  <si>
    <t>Anschluß Befüllung undicht</t>
  </si>
  <si>
    <t>20-122</t>
  </si>
  <si>
    <t>Lürwer</t>
  </si>
  <si>
    <t>Kurzschluß Steckdose Fernseher Wohnen</t>
  </si>
  <si>
    <t>20-123</t>
  </si>
  <si>
    <t>20-124</t>
  </si>
  <si>
    <t>Austausch der Türzarge Küche</t>
  </si>
  <si>
    <t>20-125</t>
  </si>
  <si>
    <t xml:space="preserve">2.OG Mitte </t>
  </si>
  <si>
    <t>Wandöffnung Bad schliessen</t>
  </si>
  <si>
    <t>20-126</t>
  </si>
  <si>
    <t>Khan</t>
  </si>
  <si>
    <t>Störung Warmwassertherme</t>
  </si>
  <si>
    <t>20-127</t>
  </si>
  <si>
    <t>Khan Herr</t>
  </si>
  <si>
    <t>Austausch der Brauchwassertherme</t>
  </si>
  <si>
    <t>20-128</t>
  </si>
  <si>
    <t>Rebling</t>
  </si>
  <si>
    <t>20-129</t>
  </si>
  <si>
    <t>Böden-Sockel Grundreinigung</t>
  </si>
  <si>
    <t>20-130</t>
  </si>
  <si>
    <t>Absperrhahn troft</t>
  </si>
  <si>
    <t>20-131</t>
  </si>
  <si>
    <t>20-132</t>
  </si>
  <si>
    <t>1.OG Mitte</t>
  </si>
  <si>
    <t>Grundreinigung Böden-Fenster-Bad</t>
  </si>
  <si>
    <t>20-133</t>
  </si>
  <si>
    <t>20-134</t>
  </si>
  <si>
    <t>Schalter und Türbeschläge</t>
  </si>
  <si>
    <t>20-135</t>
  </si>
  <si>
    <t>20-136</t>
  </si>
  <si>
    <t>Waschmaschinensteckdose defekt</t>
  </si>
  <si>
    <t>20-137</t>
  </si>
  <si>
    <t>20-138</t>
  </si>
  <si>
    <t>Schäffer Frau</t>
  </si>
  <si>
    <t>tropft am Thermostatkopf</t>
  </si>
  <si>
    <t>20-139</t>
  </si>
  <si>
    <t>Hecke schneiden rechte Seite zum Weg</t>
  </si>
  <si>
    <t>20-140</t>
  </si>
  <si>
    <t>20-141</t>
  </si>
  <si>
    <t>Wasserschaden beseitigen</t>
  </si>
  <si>
    <t>20-142</t>
  </si>
  <si>
    <t>Djerdi</t>
  </si>
  <si>
    <t>Sifon Waschmaschine einbauen</t>
  </si>
  <si>
    <t>20-143</t>
  </si>
  <si>
    <t>Felden Herr</t>
  </si>
  <si>
    <t>WW-Absperrhahn defekt</t>
  </si>
  <si>
    <t>20-144</t>
  </si>
  <si>
    <t>Balkonbelag defekt - Fliesen</t>
  </si>
  <si>
    <t>20-145</t>
  </si>
  <si>
    <t>Burek Frau</t>
  </si>
  <si>
    <t>20-146</t>
  </si>
  <si>
    <t>Meller Frau</t>
  </si>
  <si>
    <t>20-147</t>
  </si>
  <si>
    <t>Haram Herr</t>
  </si>
  <si>
    <t>Wohnzimmer Stulbflügel läßt sich nicht schliessen</t>
  </si>
  <si>
    <t>20-148</t>
  </si>
  <si>
    <t>Flur Mieterkeller</t>
  </si>
  <si>
    <t>20-149</t>
  </si>
  <si>
    <t>20-150</t>
  </si>
  <si>
    <t>Heizkörper Schlafzimmer undicht</t>
  </si>
  <si>
    <t>20-151</t>
  </si>
  <si>
    <t>2.-3.-4. OG re</t>
  </si>
  <si>
    <t>Meute/Novy/Scheulen</t>
  </si>
  <si>
    <t>Seitenwände Küchenzeile mit Elefantenfarbe streichen</t>
  </si>
  <si>
    <t>20-152</t>
  </si>
  <si>
    <t>nach Wasserschaden Laminatboden mit Fußleiste ertüchtigen</t>
  </si>
  <si>
    <t>20-153</t>
  </si>
  <si>
    <t>Ahn</t>
  </si>
  <si>
    <t>mittels Kabelkanal eine Steckdose hinter der Waschmaschine anbringen</t>
  </si>
  <si>
    <t>20-154</t>
  </si>
  <si>
    <t>Bäcker</t>
  </si>
  <si>
    <t>Spülkasten - Wasser läuft permanent</t>
  </si>
  <si>
    <t>20-155</t>
  </si>
  <si>
    <t>Maus Frau</t>
  </si>
  <si>
    <t>20-156</t>
  </si>
  <si>
    <t>Wojtczak Herr</t>
  </si>
  <si>
    <t>Therme, häufiger Druckverlust</t>
  </si>
  <si>
    <t>20-157</t>
  </si>
  <si>
    <t>Schäfer Frau</t>
  </si>
  <si>
    <t>Austausch Glasscheibe Balkonelement links</t>
  </si>
  <si>
    <t>20-158</t>
  </si>
  <si>
    <t>Erneuerung</t>
  </si>
  <si>
    <t>20-159</t>
  </si>
  <si>
    <t>Hahn Herr</t>
  </si>
  <si>
    <t>Fensterscharnier Bad defekt</t>
  </si>
  <si>
    <t>20-160</t>
  </si>
  <si>
    <t>Pichler Herr</t>
  </si>
  <si>
    <t>Steckdose Mieterkeller ohne Funktion</t>
  </si>
  <si>
    <t>20-161</t>
  </si>
  <si>
    <t>Austausch Toilette mit Deckel; RM im WZ</t>
  </si>
  <si>
    <t>20-162</t>
  </si>
  <si>
    <t>Mokhtar Frau</t>
  </si>
  <si>
    <t>wegen Motten, Versiegelung Bodenanschluß</t>
  </si>
  <si>
    <t>20-163</t>
  </si>
  <si>
    <t>Balkonbeschichtung ertüchtigen</t>
  </si>
  <si>
    <t>20-164</t>
  </si>
  <si>
    <t>Herzog Herr</t>
  </si>
  <si>
    <t>SW-Leitung Spüle undicht</t>
  </si>
  <si>
    <t>20-165</t>
  </si>
  <si>
    <t>Therme CO-gehalt zu hoch</t>
  </si>
  <si>
    <t>20-166</t>
  </si>
  <si>
    <t>Heinz Frau</t>
  </si>
  <si>
    <t>Therme CO-Gehalt annähernd zu hoch</t>
  </si>
  <si>
    <t>20-167</t>
  </si>
  <si>
    <t>Krug Frau</t>
  </si>
  <si>
    <t>Schalter einbauen</t>
  </si>
  <si>
    <t>20-168</t>
  </si>
  <si>
    <t>Taster Klinkel manchmal o. Funktion</t>
  </si>
  <si>
    <t>20-169</t>
  </si>
  <si>
    <t>Wandleuchte defekt</t>
  </si>
  <si>
    <t>20-170</t>
  </si>
  <si>
    <t>Malerarbeiten Anstrich Wände und Decken</t>
  </si>
  <si>
    <t>20-171</t>
  </si>
  <si>
    <t>Eder Herr</t>
  </si>
  <si>
    <t>Steckdose Küche verschmort</t>
  </si>
  <si>
    <t>20-172</t>
  </si>
  <si>
    <t>Austausch Staubschutzkappen Bremsmagnet</t>
  </si>
  <si>
    <t>20-173</t>
  </si>
  <si>
    <t>Bohley Herr</t>
  </si>
  <si>
    <t>Türdrücker ohne Funktion</t>
  </si>
  <si>
    <t>20-174</t>
  </si>
  <si>
    <t>Rohrverstopfung Strang Küche/Bad</t>
  </si>
  <si>
    <t>20-175</t>
  </si>
  <si>
    <t>neuer Vinylboden Schlafzimmer</t>
  </si>
  <si>
    <t>20-176</t>
  </si>
  <si>
    <t>Belova Frau</t>
  </si>
  <si>
    <t>Hautürklingel ohne Funktion</t>
  </si>
  <si>
    <t>20-177</t>
  </si>
  <si>
    <t>Dikel Frau</t>
  </si>
  <si>
    <t>Kilingeldong ohne Funktion</t>
  </si>
  <si>
    <t>20-178</t>
  </si>
  <si>
    <t>3.OG Mitte</t>
  </si>
  <si>
    <t>Rollladen defekt</t>
  </si>
  <si>
    <t>20-179</t>
  </si>
  <si>
    <t>Seggewiß Frau</t>
  </si>
  <si>
    <t>Wannenarmatur defekt</t>
  </si>
  <si>
    <t>20-180</t>
  </si>
  <si>
    <t>Balkonfliesen erneuern, eine Hälfte</t>
  </si>
  <si>
    <t>20-181</t>
  </si>
  <si>
    <t>Theis Frau</t>
  </si>
  <si>
    <t>Balkonfliesen erneuern</t>
  </si>
  <si>
    <t>20-182</t>
  </si>
  <si>
    <t>Anstrich 2 Wände fungizid; Risse Gewebe</t>
  </si>
  <si>
    <t>20-183</t>
  </si>
  <si>
    <t>20-184</t>
  </si>
  <si>
    <t>Kohlert Herr</t>
  </si>
  <si>
    <t>Rolllade Raum Seite Strasse defekt</t>
  </si>
  <si>
    <t>20-185</t>
  </si>
  <si>
    <t>Küchentüre von OK FFB  kürzen</t>
  </si>
  <si>
    <t>20-186</t>
  </si>
  <si>
    <t>Surmeyer Frau</t>
  </si>
  <si>
    <t>20-187</t>
  </si>
  <si>
    <t>Wendel</t>
  </si>
  <si>
    <t>Befestigung HWB durchgerostet</t>
  </si>
  <si>
    <t>20-188</t>
  </si>
  <si>
    <t>Laibung Natursteinplatte lose</t>
  </si>
  <si>
    <t>20-189</t>
  </si>
  <si>
    <t>Burek Gabriele</t>
  </si>
  <si>
    <t>Fernsehbuchse kein Empfang</t>
  </si>
  <si>
    <t>20-190</t>
  </si>
  <si>
    <t>Krause Toni</t>
  </si>
  <si>
    <t>Natursteinplatte Laibung anbringen</t>
  </si>
  <si>
    <t>20-191</t>
  </si>
  <si>
    <t>2 Steckdosen aus der Wand</t>
  </si>
  <si>
    <t>20-193</t>
  </si>
  <si>
    <t>Fitzen Frau</t>
  </si>
  <si>
    <t>Austausch Fensterscheibe Küche</t>
  </si>
  <si>
    <t>20-194</t>
  </si>
  <si>
    <t>e-Check</t>
  </si>
  <si>
    <t>20-195</t>
  </si>
  <si>
    <t>20-196</t>
  </si>
  <si>
    <t>20-197</t>
  </si>
  <si>
    <t>20-198</t>
  </si>
  <si>
    <t>20-199</t>
  </si>
  <si>
    <t>20-200</t>
  </si>
  <si>
    <t>20-201</t>
  </si>
  <si>
    <t>20-202</t>
  </si>
  <si>
    <t>20-203</t>
  </si>
  <si>
    <t>20-204</t>
  </si>
  <si>
    <t>20-205</t>
  </si>
  <si>
    <t>20-206</t>
  </si>
  <si>
    <t>Dachrinne Fallrohr Garage undicht</t>
  </si>
  <si>
    <t>Koch Frau</t>
  </si>
  <si>
    <t>Geruchsentwicklung Sifon Anschluß Waschm.</t>
  </si>
  <si>
    <t>Lager</t>
  </si>
  <si>
    <t>Ertüchtigung Beleuchtung</t>
  </si>
  <si>
    <t>Pohl-Grundwald</t>
  </si>
  <si>
    <t>Bad Austausch HWB mir Armatur</t>
  </si>
  <si>
    <t xml:space="preserve">Flur  </t>
  </si>
  <si>
    <t>20-207</t>
  </si>
  <si>
    <t>20-208</t>
  </si>
  <si>
    <t>20-209</t>
  </si>
  <si>
    <t>20-210</t>
  </si>
  <si>
    <t>20-211</t>
  </si>
  <si>
    <t>20-212</t>
  </si>
  <si>
    <t>20-213</t>
  </si>
  <si>
    <t>20-214</t>
  </si>
  <si>
    <t>20-215</t>
  </si>
  <si>
    <t>20-216</t>
  </si>
  <si>
    <t>20-217</t>
  </si>
  <si>
    <t>20-218</t>
  </si>
  <si>
    <t>20-219</t>
  </si>
  <si>
    <t>20-220</t>
  </si>
  <si>
    <t>20-221</t>
  </si>
  <si>
    <t>20-222</t>
  </si>
  <si>
    <t>20-223</t>
  </si>
  <si>
    <t>20-224</t>
  </si>
  <si>
    <t>Absperrhahn tropft</t>
  </si>
  <si>
    <t>Absperrhähne undicht</t>
  </si>
  <si>
    <t>Flur vor Heizraum</t>
  </si>
  <si>
    <t>Überlauf Pumpensumpf, Pumpe defekt</t>
  </si>
  <si>
    <t>Überprüfung Pumpensümpfe</t>
  </si>
  <si>
    <t>Rollladenmotoren nachstellen</t>
  </si>
  <si>
    <t>Schumacher</t>
  </si>
  <si>
    <t>neue Zuleitung Telefonanschluß</t>
  </si>
  <si>
    <t>SW-Kanal Toilette Bad anpassen</t>
  </si>
  <si>
    <t>Fliesenarbeiten Bereich Toilette</t>
  </si>
  <si>
    <t>Fenster Schlafzimmer nachstellen</t>
  </si>
  <si>
    <t>Krüger Herr</t>
  </si>
  <si>
    <t>Spülkasten tropft</t>
  </si>
  <si>
    <t>Sicherung fliegt raus, vermutlich Aussensteckdose</t>
  </si>
  <si>
    <t>Garagentor klemmt</t>
  </si>
  <si>
    <t>TG-Tor</t>
  </si>
  <si>
    <t>schließt teilweise nicht ganz</t>
  </si>
  <si>
    <t>Anschluß Nachtspeicheröfen UV abklemmen</t>
  </si>
  <si>
    <t>20-225</t>
  </si>
  <si>
    <t>20-226</t>
  </si>
  <si>
    <t>20-227</t>
  </si>
  <si>
    <t>20-228</t>
  </si>
  <si>
    <t>20-229</t>
  </si>
  <si>
    <t>20-230</t>
  </si>
  <si>
    <t>20-231</t>
  </si>
  <si>
    <t>20-232</t>
  </si>
  <si>
    <t>20-233</t>
  </si>
  <si>
    <t>20-234</t>
  </si>
  <si>
    <t>20-235</t>
  </si>
  <si>
    <t>20-236</t>
  </si>
  <si>
    <t>20-237</t>
  </si>
  <si>
    <t>20-238</t>
  </si>
  <si>
    <t>20-239</t>
  </si>
  <si>
    <t>20-240</t>
  </si>
  <si>
    <t>20-241</t>
  </si>
  <si>
    <t>20-242</t>
  </si>
  <si>
    <t>20-243</t>
  </si>
  <si>
    <t>20-244</t>
  </si>
  <si>
    <t>20-245</t>
  </si>
  <si>
    <t>20-246</t>
  </si>
  <si>
    <t>Wände nach Wasserschaden ertüchtigen</t>
  </si>
  <si>
    <t>Schlegel Herr</t>
  </si>
  <si>
    <t>Rollladenabdeckung nachstreichen</t>
  </si>
  <si>
    <t xml:space="preserve">Rohrbruch WW-Leitung App. </t>
  </si>
  <si>
    <t>Appartment 3</t>
  </si>
  <si>
    <t>Siemund-Klein</t>
  </si>
  <si>
    <t>Klingeltaster ohne Funktion</t>
  </si>
  <si>
    <t>Radke Frau</t>
  </si>
  <si>
    <t>Fliesenfugen Wannenbereich gerissen</t>
  </si>
  <si>
    <t>Weidtmann Frau</t>
  </si>
  <si>
    <t>Bad Einbau Bodenfliesen</t>
  </si>
  <si>
    <t>Obentürschließer anbringen</t>
  </si>
  <si>
    <t>Bohnow</t>
  </si>
  <si>
    <t>Müller Frau</t>
  </si>
  <si>
    <t>Balkon Fenstertüre Reparatur</t>
  </si>
  <si>
    <t>Balkon Fliesenbelag aussen lose</t>
  </si>
  <si>
    <t>Thrams Frau</t>
  </si>
  <si>
    <t>Dachrinnenreinigung-Dachpfannen defekt</t>
  </si>
  <si>
    <t>WW-Absperrhahn defekt - Küche</t>
  </si>
  <si>
    <t>von Ambüren</t>
  </si>
  <si>
    <t>Ventil HK Arbeitszimmer Austausch</t>
  </si>
  <si>
    <t>Entsorgung alter Heizkessel</t>
  </si>
  <si>
    <t>Lopenz</t>
  </si>
  <si>
    <t>UV-Klappe fehlt</t>
  </si>
  <si>
    <t>Singer Herr</t>
  </si>
  <si>
    <t>Austausch Eckventile Küche</t>
  </si>
  <si>
    <t xml:space="preserve">Appartment </t>
  </si>
  <si>
    <t>Klein Frau</t>
  </si>
  <si>
    <t>Verlegung Telefonleitung über Zählerplatz</t>
  </si>
  <si>
    <t>Wandöffnungen nach Wasserschaden schliessen</t>
  </si>
  <si>
    <t>Merget Herr</t>
  </si>
  <si>
    <t>Deckenbereich Wasserschaden streichen</t>
  </si>
  <si>
    <t>Kessner</t>
  </si>
  <si>
    <t>service@achim-kessner.de</t>
  </si>
  <si>
    <t>Hensel-Müller</t>
  </si>
  <si>
    <t>Beseitigung Wespennest</t>
  </si>
  <si>
    <t>Farkorbpuffer; Schachtreinigung;Riegelrolle</t>
  </si>
  <si>
    <t>Schröder</t>
  </si>
  <si>
    <t>Ertüchtigung Steckdosen</t>
  </si>
  <si>
    <t>Austausch der Fensterscheibe Bad</t>
  </si>
  <si>
    <t>Bäcker Mölders</t>
  </si>
  <si>
    <t>Sprechanlage prüfen</t>
  </si>
  <si>
    <t>20-247</t>
  </si>
  <si>
    <t>20-248</t>
  </si>
  <si>
    <t>20-249</t>
  </si>
  <si>
    <t>20-250</t>
  </si>
  <si>
    <t>20-251</t>
  </si>
  <si>
    <t>20-252</t>
  </si>
  <si>
    <t>20-253</t>
  </si>
  <si>
    <t>20-254</t>
  </si>
  <si>
    <t>20-255</t>
  </si>
  <si>
    <t>20-256</t>
  </si>
  <si>
    <t>20-257</t>
  </si>
  <si>
    <t>20-258</t>
  </si>
  <si>
    <t>20-259</t>
  </si>
  <si>
    <t>20-260</t>
  </si>
  <si>
    <t>20-261</t>
  </si>
  <si>
    <t>20-262</t>
  </si>
  <si>
    <t>20-263</t>
  </si>
  <si>
    <t>20-264</t>
  </si>
  <si>
    <t>20-265</t>
  </si>
  <si>
    <t>20-266</t>
  </si>
  <si>
    <t>Leißau</t>
  </si>
  <si>
    <t>3 Gauben undicht</t>
  </si>
  <si>
    <t>Heizung-WW</t>
  </si>
  <si>
    <t>Fremdkörper aus Umwelzpumpe entfernen</t>
  </si>
  <si>
    <t>Austausch Gebläsemotor des Gasbrenners</t>
  </si>
  <si>
    <t>Wände nach Rücksprache streichen</t>
  </si>
  <si>
    <t>Rückbau Abluftventilator Bad</t>
  </si>
  <si>
    <t>Einbau Bügel-WW Zähler</t>
  </si>
  <si>
    <t>2.OG b-WE 13</t>
  </si>
  <si>
    <t>Chimlewski</t>
  </si>
  <si>
    <t>H.A. Sicherung durchgeschmort</t>
  </si>
  <si>
    <t>Semling Frau</t>
  </si>
  <si>
    <t>Sifon-Duschschlauch-Fußleiste-Toilettendeckel</t>
  </si>
  <si>
    <t>Austausch HWB</t>
  </si>
  <si>
    <t xml:space="preserve">Patti Mazzone </t>
  </si>
  <si>
    <t xml:space="preserve">Rohrverstopfung Bad </t>
  </si>
  <si>
    <t>Rückschnitt Eiben</t>
  </si>
  <si>
    <t>EG-DG</t>
  </si>
  <si>
    <t>beginnende Fallrohrverstopfung Steigestrang</t>
  </si>
  <si>
    <t>Sicherung</t>
  </si>
  <si>
    <t>Treppenlicht-Zeitschaltuhr defekt</t>
  </si>
  <si>
    <t>20-267</t>
  </si>
  <si>
    <t>20-268</t>
  </si>
  <si>
    <t>20-269</t>
  </si>
  <si>
    <t>20-270</t>
  </si>
  <si>
    <t>20-271</t>
  </si>
  <si>
    <t>20-272</t>
  </si>
  <si>
    <t>20-273</t>
  </si>
  <si>
    <t>20-274</t>
  </si>
  <si>
    <t>20-275</t>
  </si>
  <si>
    <t>20-276</t>
  </si>
  <si>
    <t>20-277</t>
  </si>
  <si>
    <t>20-278</t>
  </si>
  <si>
    <t>20-279</t>
  </si>
  <si>
    <t>20-280</t>
  </si>
  <si>
    <t>20-281</t>
  </si>
  <si>
    <t>Franz Frau</t>
  </si>
  <si>
    <t>Lichtschalter Nische seitl. Alibert defekt</t>
  </si>
  <si>
    <t>Seiler Herr</t>
  </si>
  <si>
    <t>Mallmann Frau</t>
  </si>
  <si>
    <t>Austausch Toilette o. Deckel mit Spülkasten</t>
  </si>
  <si>
    <t>Ratten o.ä auf dem Dachboden</t>
  </si>
  <si>
    <t>Windbergs</t>
  </si>
  <si>
    <t>Rohrbruch am DHB behoben</t>
  </si>
  <si>
    <t>Dachrinnenreinigung Haus Nr. 10-14</t>
  </si>
  <si>
    <t>Kaminanschluß Dachfläche undicht</t>
  </si>
  <si>
    <t>Engelhardt Frau</t>
  </si>
  <si>
    <t xml:space="preserve">Balkonanschluß zur Türe undicht </t>
  </si>
  <si>
    <t>Stoffregen Frau</t>
  </si>
  <si>
    <t>Wohnungseingangszylinder klemmt</t>
  </si>
  <si>
    <t>Austausch der defekten Rolllade</t>
  </si>
  <si>
    <t>WHG 29</t>
  </si>
  <si>
    <t>Fabers</t>
  </si>
  <si>
    <t>FBH Stellventil defekt siehe Foto</t>
  </si>
  <si>
    <t>Damm Herr</t>
  </si>
  <si>
    <t>Rundzylinder Wohnungseingangstüre defekt</t>
  </si>
  <si>
    <t>Feld Frau</t>
  </si>
  <si>
    <t>Fenster kl. Zimmer Rückseite nachstellen</t>
  </si>
  <si>
    <t>Plempe Herr</t>
  </si>
  <si>
    <t>Aussenzapfstelle</t>
  </si>
  <si>
    <t>Aussenzapfstelle tropft - ggfs. Kemper Fabr.</t>
  </si>
  <si>
    <t>Fahrkorbbeleuchtung zur Hälfte ausgefallen</t>
  </si>
  <si>
    <t>Austausch Bodenbelag Küche</t>
  </si>
  <si>
    <t>EG-2.OG</t>
  </si>
  <si>
    <t>Küsters/Springborn/Fitzen</t>
  </si>
  <si>
    <t>Bad Herstellen von größeren Revisionsöffnungen</t>
  </si>
  <si>
    <t>20-282</t>
  </si>
  <si>
    <t>20-283</t>
  </si>
  <si>
    <t>20-284</t>
  </si>
  <si>
    <t>20-285</t>
  </si>
  <si>
    <t>20-286</t>
  </si>
  <si>
    <t>20-287</t>
  </si>
  <si>
    <t>20-288</t>
  </si>
  <si>
    <t>20-289</t>
  </si>
  <si>
    <t>20-290</t>
  </si>
  <si>
    <t>20-291</t>
  </si>
  <si>
    <t>20-292</t>
  </si>
  <si>
    <t>20-293</t>
  </si>
  <si>
    <t>20-294</t>
  </si>
  <si>
    <t>20-295</t>
  </si>
  <si>
    <t>Gasgeruch</t>
  </si>
  <si>
    <t>Einbau einer Einschubtreppe</t>
  </si>
  <si>
    <t>WHG 5.OG a</t>
  </si>
  <si>
    <t>Jennessen Frau</t>
  </si>
  <si>
    <t>2 Steckdosenabdeckungen fehlen, Kabelanschluß aus Wand</t>
  </si>
  <si>
    <t>WHG 2.Og e 13</t>
  </si>
  <si>
    <t>Chmielewski Frau</t>
  </si>
  <si>
    <t>Klingel-sprechanlage prüfen o. Funktion</t>
  </si>
  <si>
    <t>Austausch der defekten Hausteüre</t>
  </si>
  <si>
    <t>Kempken</t>
  </si>
  <si>
    <t>Schalter-Kabel in der Küche defekt</t>
  </si>
  <si>
    <t>Nachstellen</t>
  </si>
  <si>
    <t xml:space="preserve">Heizungs-Leitung undicht VL </t>
  </si>
  <si>
    <t>Horstmann Herr</t>
  </si>
  <si>
    <t>Kombitherme Störung</t>
  </si>
  <si>
    <t>Anschluß Abdichtung Balkontüre erneuern</t>
  </si>
  <si>
    <t>Mülldeckel</t>
  </si>
  <si>
    <t>Spalt zwischen Bürgersteigplatten u. Deckel schliessen</t>
  </si>
  <si>
    <t>Djerdi Herr</t>
  </si>
  <si>
    <t>Bad Wandöffnung schliessen Bereich Sifon</t>
  </si>
  <si>
    <t>Rohrbruch T-Stck KW-Leitung</t>
  </si>
  <si>
    <t>Zylinder ggfs. defekt</t>
  </si>
  <si>
    <t>2.OG 3-13</t>
  </si>
  <si>
    <t>Beyer</t>
  </si>
  <si>
    <t>Wohnen Thermostatventil defekt</t>
  </si>
  <si>
    <t>20-296</t>
  </si>
  <si>
    <t>20-297</t>
  </si>
  <si>
    <t>20-298</t>
  </si>
  <si>
    <t>20-299</t>
  </si>
  <si>
    <t>20-300</t>
  </si>
  <si>
    <t>20-301</t>
  </si>
  <si>
    <t>20-302</t>
  </si>
  <si>
    <t>20-303</t>
  </si>
  <si>
    <t>20-304</t>
  </si>
  <si>
    <t>20-305</t>
  </si>
  <si>
    <t>20-306</t>
  </si>
  <si>
    <t>20-307</t>
  </si>
  <si>
    <t>20-308</t>
  </si>
  <si>
    <t>20-309</t>
  </si>
  <si>
    <t>20-310</t>
  </si>
  <si>
    <t>20-311</t>
  </si>
  <si>
    <t>20-312</t>
  </si>
  <si>
    <t>20-313</t>
  </si>
  <si>
    <t>20-314</t>
  </si>
  <si>
    <t>20-315</t>
  </si>
  <si>
    <t>20-316</t>
  </si>
  <si>
    <t>20-317</t>
  </si>
  <si>
    <t>20-318</t>
  </si>
  <si>
    <t>20-319</t>
  </si>
  <si>
    <t>20-320</t>
  </si>
  <si>
    <t>20-321</t>
  </si>
  <si>
    <t>20-322</t>
  </si>
  <si>
    <t>20-323</t>
  </si>
  <si>
    <t>Witte Herr</t>
  </si>
  <si>
    <t>Wanne Austausch Exenter; Versiegelung herst.</t>
  </si>
  <si>
    <t>Löwenstein Herr</t>
  </si>
  <si>
    <t>Taster Türdrücker ohne Funktion</t>
  </si>
  <si>
    <t>Reparatur Mosaikparkett vor Balkontüre</t>
  </si>
  <si>
    <t>Borley</t>
  </si>
  <si>
    <t>Steckdose neben Telefonanschluß herstellen</t>
  </si>
  <si>
    <t>vertrocknete Pflanzen Blumenkübel entfernen</t>
  </si>
  <si>
    <t>SW-Leitung Abhangdecke Bad undicht</t>
  </si>
  <si>
    <t>E.I.S</t>
  </si>
  <si>
    <t>einetter@t-online.de</t>
  </si>
  <si>
    <t>Abhangdecke schliessen und Streichen</t>
  </si>
  <si>
    <t>Wohnungstüre -Schliesser nachstellen</t>
  </si>
  <si>
    <t>Ausbau der Teppichböden</t>
  </si>
  <si>
    <t>Haltegriff Wanne anbringen</t>
  </si>
  <si>
    <t>Janke</t>
  </si>
  <si>
    <t>Prüfung und Einbau Ventilator Bad</t>
  </si>
  <si>
    <t>Vossen Herr</t>
  </si>
  <si>
    <t>Balkontüre Küche nachstellen</t>
  </si>
  <si>
    <t>Balkontüre Schlafen nachstellen</t>
  </si>
  <si>
    <t>Reinigung RW-Revisionsschacht</t>
  </si>
  <si>
    <t xml:space="preserve">Fliesen der Bäder und Küchen </t>
  </si>
  <si>
    <t>DHB - o. Funktion; Stromausfall vorher</t>
  </si>
  <si>
    <t>Schalterabdeckung - Einsätze lose</t>
  </si>
  <si>
    <t>Thielen Frau</t>
  </si>
  <si>
    <t>Austausch Rippenheizkörper Wohnen rechts</t>
  </si>
  <si>
    <t>20-324</t>
  </si>
  <si>
    <t>20-325</t>
  </si>
  <si>
    <t>20-326</t>
  </si>
  <si>
    <t>20-327</t>
  </si>
  <si>
    <t>20-328</t>
  </si>
  <si>
    <t>20-329</t>
  </si>
  <si>
    <t>20-330</t>
  </si>
  <si>
    <t>20-331</t>
  </si>
  <si>
    <t>20-332</t>
  </si>
  <si>
    <t>20-333</t>
  </si>
  <si>
    <t>20-334</t>
  </si>
  <si>
    <t>20-335</t>
  </si>
  <si>
    <t>20-336</t>
  </si>
  <si>
    <t>20-337</t>
  </si>
  <si>
    <t>20-338</t>
  </si>
  <si>
    <t>20-339</t>
  </si>
  <si>
    <t>Leitungsschütze defekt</t>
  </si>
  <si>
    <t>aufzugservice.overlach@t-online.de</t>
  </si>
  <si>
    <t>Mahlmann Herr</t>
  </si>
  <si>
    <t>Austausch der Badewanne</t>
  </si>
  <si>
    <t>Blauen Engel</t>
  </si>
  <si>
    <t>kontakt@die-blauen-Engel.com</t>
  </si>
  <si>
    <t>Endstopfen Rollladenführungsschiene Schlafen defekt</t>
  </si>
  <si>
    <t>Herrmann</t>
  </si>
  <si>
    <t xml:space="preserve">Durchlauferhitzer defekt </t>
  </si>
  <si>
    <t>Özcoban/Brüster</t>
  </si>
  <si>
    <t>Schutzfarbe am Fenster zwischen WC und Badewanne anbringen, evtl. versiegeln</t>
  </si>
  <si>
    <t>Unitykabel mit Kabelkanal abdecken, Steckdosenabdeckungen(2) tauschen</t>
  </si>
  <si>
    <t>Heizkessel geht immer auf Störung</t>
  </si>
  <si>
    <t>Sicherung UV ggfs. defekt Bad</t>
  </si>
  <si>
    <t>3.OG a</t>
  </si>
  <si>
    <t>WC verstopft</t>
  </si>
  <si>
    <t>Heizungsanlage funktioniert nicht</t>
  </si>
  <si>
    <t>4. OG e</t>
  </si>
  <si>
    <t>Frau Hoti</t>
  </si>
  <si>
    <t>Haustelefon/Klingelanlage funktioniert nicht</t>
  </si>
  <si>
    <t>EG m</t>
  </si>
  <si>
    <t>Fa. Logopack</t>
  </si>
  <si>
    <t>Führung im Rolladenkasten abgebrochen</t>
  </si>
  <si>
    <t>20-340</t>
  </si>
  <si>
    <t>20-341</t>
  </si>
  <si>
    <t>20-342</t>
  </si>
  <si>
    <t>20-343</t>
  </si>
  <si>
    <t>20-344</t>
  </si>
  <si>
    <t>20-345</t>
  </si>
  <si>
    <t>20-346</t>
  </si>
  <si>
    <t>20-347</t>
  </si>
  <si>
    <t>20-348</t>
  </si>
  <si>
    <t>20-349</t>
  </si>
  <si>
    <t>20-350</t>
  </si>
  <si>
    <t>20-351</t>
  </si>
  <si>
    <t>20-352</t>
  </si>
  <si>
    <t>5. OG li</t>
  </si>
  <si>
    <t>Roßbach Frau</t>
  </si>
  <si>
    <t>03-EG c</t>
  </si>
  <si>
    <t>Rhode Frau</t>
  </si>
  <si>
    <t>Thiele Frau</t>
  </si>
  <si>
    <t>Austausch Fertigparkett wegen Wasserschaden</t>
  </si>
  <si>
    <t>Rückschnitt Tanne Bereich Giebel Rückseite</t>
  </si>
  <si>
    <t>20-353</t>
  </si>
  <si>
    <t>20-354</t>
  </si>
  <si>
    <t>20-355</t>
  </si>
  <si>
    <t>20-356</t>
  </si>
  <si>
    <t>20-357</t>
  </si>
  <si>
    <t>20-358</t>
  </si>
  <si>
    <t>20-359</t>
  </si>
  <si>
    <t>20-360</t>
  </si>
  <si>
    <t>20-361</t>
  </si>
  <si>
    <t>20-362</t>
  </si>
  <si>
    <t>20-363</t>
  </si>
  <si>
    <t>20-364</t>
  </si>
  <si>
    <t>20-365</t>
  </si>
  <si>
    <t>20-366</t>
  </si>
  <si>
    <t>20-367</t>
  </si>
  <si>
    <t>20-368</t>
  </si>
  <si>
    <t>20-369</t>
  </si>
  <si>
    <t>20-370</t>
  </si>
  <si>
    <t>20-371</t>
  </si>
  <si>
    <t>20-372</t>
  </si>
  <si>
    <t>20-373</t>
  </si>
  <si>
    <t>20-374</t>
  </si>
  <si>
    <t>20-375</t>
  </si>
  <si>
    <t>20-376</t>
  </si>
  <si>
    <t>20-377</t>
  </si>
  <si>
    <t>20-378</t>
  </si>
  <si>
    <t>20-379</t>
  </si>
  <si>
    <t>20-380</t>
  </si>
  <si>
    <t>20-381</t>
  </si>
  <si>
    <t>20-382</t>
  </si>
  <si>
    <t>20-383</t>
  </si>
  <si>
    <t>20-384</t>
  </si>
  <si>
    <t>20-385</t>
  </si>
  <si>
    <t>20-386</t>
  </si>
  <si>
    <t>20-387</t>
  </si>
  <si>
    <t>20-388</t>
  </si>
  <si>
    <t>20-389</t>
  </si>
  <si>
    <t>20-390</t>
  </si>
  <si>
    <t>20-391</t>
  </si>
  <si>
    <t>20-392</t>
  </si>
  <si>
    <t>20-393</t>
  </si>
  <si>
    <t>20-394</t>
  </si>
  <si>
    <t>20-395</t>
  </si>
  <si>
    <t>20-396</t>
  </si>
  <si>
    <t>20-397</t>
  </si>
  <si>
    <t>20-398</t>
  </si>
  <si>
    <t>20-399</t>
  </si>
  <si>
    <t>20-400</t>
  </si>
  <si>
    <t>20-401</t>
  </si>
  <si>
    <t>20-402</t>
  </si>
  <si>
    <t>20-403</t>
  </si>
  <si>
    <t>20-404</t>
  </si>
  <si>
    <t>20-405</t>
  </si>
  <si>
    <t>20-406</t>
  </si>
  <si>
    <t>20-407</t>
  </si>
  <si>
    <t>20-408</t>
  </si>
  <si>
    <t>20-409</t>
  </si>
  <si>
    <t>20-410</t>
  </si>
  <si>
    <t>20-411</t>
  </si>
  <si>
    <t>20-412</t>
  </si>
  <si>
    <t>20-413</t>
  </si>
  <si>
    <t>20-414</t>
  </si>
  <si>
    <t>20-415</t>
  </si>
  <si>
    <t>20-416</t>
  </si>
  <si>
    <t>20-417</t>
  </si>
  <si>
    <t>20-418</t>
  </si>
  <si>
    <t>20-419</t>
  </si>
  <si>
    <t>20-420</t>
  </si>
  <si>
    <t>20-421</t>
  </si>
  <si>
    <t>20-422</t>
  </si>
  <si>
    <t>20-423</t>
  </si>
  <si>
    <t>20-424</t>
  </si>
  <si>
    <t>20-425</t>
  </si>
  <si>
    <t>20-426</t>
  </si>
  <si>
    <t>20-427</t>
  </si>
  <si>
    <t>20-428</t>
  </si>
  <si>
    <t>20-429</t>
  </si>
  <si>
    <t>20-430</t>
  </si>
  <si>
    <t>20-431</t>
  </si>
  <si>
    <t>20-432</t>
  </si>
  <si>
    <t>20-433</t>
  </si>
  <si>
    <t>20-434</t>
  </si>
  <si>
    <t>20-435</t>
  </si>
  <si>
    <t>20-436</t>
  </si>
  <si>
    <t>20-437</t>
  </si>
  <si>
    <t>20-438</t>
  </si>
  <si>
    <t>20-439</t>
  </si>
  <si>
    <t>20-440</t>
  </si>
  <si>
    <t>20-441</t>
  </si>
  <si>
    <t>20-442</t>
  </si>
  <si>
    <t>20-443</t>
  </si>
  <si>
    <t>20-444</t>
  </si>
  <si>
    <t>20-445</t>
  </si>
  <si>
    <t>20-446</t>
  </si>
  <si>
    <t>20-447</t>
  </si>
  <si>
    <t>Türantrieb erneuern</t>
  </si>
  <si>
    <t>Colovic Herr</t>
  </si>
  <si>
    <t>Fernbediehnung Markise prüfen, Flur Dauerstrom ?</t>
  </si>
  <si>
    <t>Fenster Schlafen nachstellen</t>
  </si>
  <si>
    <t>1. Ogr</t>
  </si>
  <si>
    <t>Giacomelli</t>
  </si>
  <si>
    <t>Klingelanlage funktioniert nicht immer; Steckdosenleiste Küche prüfen</t>
  </si>
  <si>
    <t>Markise Funktion Strom Diele prüfen</t>
  </si>
  <si>
    <t>2. OG m</t>
  </si>
  <si>
    <t>defekte Strahler tauschen</t>
  </si>
  <si>
    <t>6. OG c</t>
  </si>
  <si>
    <t>Prell Herr</t>
  </si>
  <si>
    <t>defekte Steckdose Wintergarten prüfen</t>
  </si>
  <si>
    <t>Lichtschalter Küche defekt/Wackelkontakt</t>
  </si>
  <si>
    <t>Werner Herr</t>
  </si>
  <si>
    <t>Malik Herr</t>
  </si>
  <si>
    <t>Kurzschluß Steckdose Waschmaschine/Keller</t>
  </si>
  <si>
    <t>Oktay Frau</t>
  </si>
  <si>
    <t>Rohrverstopfung in der Badewanne</t>
  </si>
  <si>
    <t>Pitz Frau</t>
  </si>
  <si>
    <t>EG l</t>
  </si>
  <si>
    <t>Radtke Frau</t>
  </si>
  <si>
    <t>Steckdose für den Fernseher fixieren</t>
  </si>
  <si>
    <t>Voß Frau</t>
  </si>
  <si>
    <t>Stuhlmann Herr</t>
  </si>
  <si>
    <t>Abdeckung Steckdose Badezimmer fehlt</t>
  </si>
  <si>
    <t>Strehblow Frau</t>
  </si>
  <si>
    <t>Wassereintritt an der Gaube</t>
  </si>
  <si>
    <t xml:space="preserve">Zorn </t>
  </si>
  <si>
    <t>Ungezieferbeseitigung</t>
  </si>
  <si>
    <t>Kokin Herr</t>
  </si>
  <si>
    <t>Austausch defekte Glasscheibe Küchentür</t>
  </si>
  <si>
    <t>EG hinten</t>
  </si>
  <si>
    <t>S-Tec</t>
  </si>
  <si>
    <t>Heizung funktioniert nicht</t>
  </si>
  <si>
    <t>3. OG hinten</t>
  </si>
  <si>
    <t>Kapr Frau</t>
  </si>
  <si>
    <t>Getriebe im Küchenfenster defekt</t>
  </si>
  <si>
    <t>Kellerbeleuchtung ertüchtigen</t>
  </si>
  <si>
    <t>Schmidt Frau</t>
  </si>
  <si>
    <t>Absicherung - Sicherungen prüfen</t>
  </si>
  <si>
    <t>Lang Frau</t>
  </si>
  <si>
    <t>Rolllade Wohnen Einstellung ändern - Rollladenstopper reparieren</t>
  </si>
  <si>
    <t>Schlafen Rollladenkasten nachstreichen</t>
  </si>
  <si>
    <t>Überdachung Wellplatten entfernen</t>
  </si>
  <si>
    <t xml:space="preserve"> sind teilweise durch Sturm beschädigt. Kannst Du bitte vom Balkon Fotos machen, wird die Ablaufsenke von herrn jahn gereinigt ?</t>
  </si>
  <si>
    <t>Gaubenabdichtung-Abläufe ertüchtigen</t>
  </si>
  <si>
    <t>Zorn</t>
  </si>
  <si>
    <t>zorn-bedachungen@web.de</t>
  </si>
  <si>
    <t>Fensterflügel Schlafen nachstellen</t>
  </si>
  <si>
    <t>Perla Frau</t>
  </si>
  <si>
    <t>tropft aus der Abgasführung Therme</t>
  </si>
  <si>
    <t>Rohrverstopfung Waschtisch-Wanne, Grundkanal wurde zusätzlich gereinigt</t>
  </si>
  <si>
    <t>Rohrverstopfung Küche; Ursache Fett</t>
  </si>
  <si>
    <t>Schreiber Frau</t>
  </si>
  <si>
    <t>Rohrverstopfung Küchenstrang</t>
  </si>
  <si>
    <t>Bitte einfügen!</t>
  </si>
  <si>
    <t>4.OG e WHG 23</t>
  </si>
  <si>
    <t>Hoti Frau</t>
  </si>
  <si>
    <t>Bad Prüfung auf Leckage - Wasserschaden</t>
  </si>
  <si>
    <t>Hoti, Termin mit Herrn Halfpapp abstimmen</t>
  </si>
  <si>
    <t>Bad Prüfung auf Leckage Wasserschaden</t>
  </si>
  <si>
    <t>siehe weitere Anlage. Bitte mir den vereinbarten Termin mitteilen, Danke</t>
  </si>
  <si>
    <t>Versuch</t>
  </si>
  <si>
    <t>nnnn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</si>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</sst>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0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rgb="FF1F497D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4"/>
      <color rgb="FF1F497D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1"/>
      <color indexed="10"/>
      <name val="Calibri"/>
      <family val="2"/>
      <scheme val="minor"/>
    </font>
    <font>
      <sz val="12"/>
      <color rgb="FF1F497D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8" fillId="0" borderId="0" applyNumberFormat="0" applyFill="0" applyBorder="0" applyAlignment="0" applyProtection="0"/>
  </cellStyleXfs>
  <cellXfs count="162">
    <xf numFmtId="0" fontId="0" fillId="0" borderId="0" xfId="0"/>
    <xf numFmtId="0" fontId="20" fillId="0" borderId="0" xfId="0" applyFont="1" applyAlignment="1" applyProtection="1">
      <alignment horizontal="left" wrapText="1"/>
      <protection locked="0"/>
    </xf>
    <xf numFmtId="0" fontId="2" fillId="0" borderId="2" xfId="0" applyFont="1" applyBorder="1" applyAlignment="1">
      <alignment vertical="top"/>
    </xf>
    <xf numFmtId="0" fontId="0" fillId="0" borderId="2" xfId="0" applyBorder="1"/>
    <xf numFmtId="16" fontId="0" fillId="0" borderId="2" xfId="0" applyNumberFormat="1" applyBorder="1" applyAlignment="1">
      <alignment horizontal="right"/>
    </xf>
    <xf numFmtId="0" fontId="5" fillId="0" borderId="2" xfId="0" applyFont="1" applyBorder="1" applyAlignment="1">
      <alignment vertical="top" wrapText="1"/>
    </xf>
    <xf numFmtId="0" fontId="6" fillId="0" borderId="2" xfId="0" applyFont="1" applyFill="1" applyBorder="1" applyAlignment="1">
      <alignment vertical="top" wrapText="1"/>
    </xf>
    <xf numFmtId="0" fontId="2" fillId="0" borderId="2" xfId="0" applyFont="1" applyBorder="1" applyAlignment="1">
      <alignment horizontal="center" vertical="top" wrapText="1"/>
    </xf>
    <xf numFmtId="1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/>
    </xf>
    <xf numFmtId="0" fontId="0" fillId="0" borderId="0" xfId="0" applyFill="1" applyBorder="1"/>
    <xf numFmtId="0" fontId="3" fillId="0" borderId="2" xfId="0" applyFont="1" applyBorder="1" applyAlignment="1">
      <alignment horizontal="center" vertical="top" wrapText="1"/>
    </xf>
    <xf numFmtId="0" fontId="3" fillId="0" borderId="2" xfId="0" applyFont="1" applyBorder="1" applyAlignment="1">
      <alignment vertical="top" wrapText="1"/>
    </xf>
    <xf numFmtId="0" fontId="0" fillId="0" borderId="0" xfId="0" applyAlignment="1">
      <alignment wrapText="1"/>
    </xf>
    <xf numFmtId="1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/>
    </xf>
    <xf numFmtId="0" fontId="8" fillId="0" borderId="2" xfId="0" applyFont="1" applyBorder="1" applyAlignment="1">
      <alignment vertical="top"/>
    </xf>
    <xf numFmtId="0" fontId="7" fillId="0" borderId="2" xfId="0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Fill="1" applyBorder="1" applyAlignment="1">
      <alignment vertical="top"/>
    </xf>
    <xf numFmtId="0" fontId="0" fillId="0" borderId="0" xfId="0" applyBorder="1"/>
    <xf numFmtId="0" fontId="0" fillId="0" borderId="3" xfId="0" applyFill="1" applyBorder="1"/>
    <xf numFmtId="16" fontId="0" fillId="0" borderId="0" xfId="0" applyNumberFormat="1" applyBorder="1"/>
    <xf numFmtId="0" fontId="0" fillId="0" borderId="0" xfId="0" applyBorder="1" applyAlignment="1">
      <alignment vertical="top"/>
    </xf>
    <xf numFmtId="0" fontId="10" fillId="0" borderId="2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vertical="top" wrapText="1"/>
    </xf>
    <xf numFmtId="0" fontId="11" fillId="0" borderId="1" xfId="0" applyFont="1" applyBorder="1" applyAlignment="1">
      <alignment vertical="center"/>
    </xf>
    <xf numFmtId="164" fontId="0" fillId="0" borderId="2" xfId="0" applyNumberFormat="1" applyBorder="1" applyAlignment="1">
      <alignment horizontal="center" vertical="top"/>
    </xf>
    <xf numFmtId="164" fontId="0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12" fillId="0" borderId="2" xfId="0" applyFont="1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vertical="top" wrapText="1"/>
    </xf>
    <xf numFmtId="0" fontId="13" fillId="0" borderId="2" xfId="0" applyFont="1" applyBorder="1" applyAlignment="1">
      <alignment vertical="top"/>
    </xf>
    <xf numFmtId="0" fontId="0" fillId="0" borderId="4" xfId="0" applyFill="1" applyBorder="1" applyAlignment="1">
      <alignment vertical="top"/>
    </xf>
    <xf numFmtId="0" fontId="14" fillId="0" borderId="2" xfId="0" applyFont="1" applyBorder="1" applyAlignment="1">
      <alignment vertical="top" wrapText="1"/>
    </xf>
    <xf numFmtId="0" fontId="10" fillId="0" borderId="2" xfId="0" applyFont="1" applyBorder="1" applyAlignment="1">
      <alignment vertical="top" wrapText="1"/>
    </xf>
    <xf numFmtId="0" fontId="12" fillId="0" borderId="1" xfId="0" applyFont="1" applyBorder="1" applyAlignment="1">
      <alignment vertical="top" wrapText="1"/>
    </xf>
    <xf numFmtId="1" fontId="0" fillId="2" borderId="2" xfId="0" applyNumberFormat="1" applyFill="1" applyBorder="1" applyAlignment="1">
      <alignment horizontal="center" vertical="top"/>
    </xf>
    <xf numFmtId="164" fontId="0" fillId="2" borderId="2" xfId="0" applyNumberFormat="1" applyFill="1" applyBorder="1" applyAlignment="1">
      <alignment horizontal="center" vertical="top"/>
    </xf>
    <xf numFmtId="0" fontId="0" fillId="2" borderId="2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2" xfId="0" applyFill="1" applyBorder="1" applyAlignment="1">
      <alignment vertical="top" wrapText="1"/>
    </xf>
    <xf numFmtId="0" fontId="0" fillId="2" borderId="0" xfId="0" applyFill="1" applyBorder="1"/>
    <xf numFmtId="0" fontId="0" fillId="2" borderId="0" xfId="0" applyFill="1"/>
    <xf numFmtId="0" fontId="0" fillId="0" borderId="4" xfId="0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5" fillId="0" borderId="2" xfId="0" applyFont="1" applyBorder="1" applyAlignment="1">
      <alignment vertical="top"/>
    </xf>
    <xf numFmtId="0" fontId="0" fillId="0" borderId="2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0" fillId="0" borderId="1" xfId="0" applyBorder="1" applyAlignment="1">
      <alignment vertical="center"/>
    </xf>
    <xf numFmtId="0" fontId="0" fillId="2" borderId="2" xfId="0" applyFill="1" applyBorder="1"/>
    <xf numFmtId="0" fontId="0" fillId="2" borderId="0" xfId="0" applyFill="1" applyBorder="1" applyAlignment="1">
      <alignment vertical="top"/>
    </xf>
    <xf numFmtId="0" fontId="8" fillId="0" borderId="1" xfId="0" applyFont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18" fontId="0" fillId="0" borderId="2" xfId="0" applyNumberFormat="1" applyBorder="1" applyAlignment="1">
      <alignment vertical="top"/>
    </xf>
    <xf numFmtId="0" fontId="4" fillId="0" borderId="0" xfId="0" applyFont="1" applyBorder="1"/>
    <xf numFmtId="0" fontId="16" fillId="0" borderId="2" xfId="0" applyFont="1" applyBorder="1" applyAlignment="1">
      <alignment vertical="top"/>
    </xf>
    <xf numFmtId="0" fontId="8" fillId="0" borderId="0" xfId="0" applyFont="1"/>
    <xf numFmtId="0" fontId="8" fillId="0" borderId="2" xfId="0" quotePrefix="1" applyFont="1" applyBorder="1" applyAlignment="1">
      <alignment vertical="top"/>
    </xf>
    <xf numFmtId="0" fontId="0" fillId="0" borderId="2" xfId="0" quotePrefix="1" applyBorder="1" applyAlignment="1">
      <alignment vertical="top"/>
    </xf>
    <xf numFmtId="0" fontId="0" fillId="0" borderId="2" xfId="0" quotePrefix="1" applyBorder="1" applyAlignment="1">
      <alignment vertical="top" wrapText="1"/>
    </xf>
    <xf numFmtId="0" fontId="10" fillId="0" borderId="2" xfId="0" quotePrefix="1" applyFont="1" applyBorder="1" applyAlignment="1">
      <alignment vertical="top"/>
    </xf>
    <xf numFmtId="1" fontId="0" fillId="0" borderId="2" xfId="0" applyNumberFormat="1" applyBorder="1" applyAlignment="1">
      <alignment horizontal="center" vertical="top" wrapText="1"/>
    </xf>
    <xf numFmtId="18" fontId="0" fillId="0" borderId="2" xfId="0" applyNumberFormat="1" applyBorder="1" applyAlignment="1">
      <alignment vertical="top" wrapText="1"/>
    </xf>
    <xf numFmtId="16" fontId="0" fillId="0" borderId="2" xfId="0" applyNumberFormat="1" applyBorder="1" applyAlignment="1">
      <alignment vertical="top"/>
    </xf>
    <xf numFmtId="0" fontId="1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4" fontId="0" fillId="0" borderId="0" xfId="0" applyNumberFormat="1" applyAlignment="1">
      <alignment horizontal="right" vertical="center"/>
    </xf>
    <xf numFmtId="0" fontId="16" fillId="0" borderId="0" xfId="0" applyFont="1" applyAlignment="1"/>
    <xf numFmtId="0" fontId="0" fillId="0" borderId="0" xfId="0" applyAlignment="1"/>
    <xf numFmtId="14" fontId="0" fillId="0" borderId="0" xfId="0" applyNumberFormat="1"/>
    <xf numFmtId="0" fontId="18" fillId="0" borderId="0" xfId="0" applyFont="1"/>
    <xf numFmtId="0" fontId="28" fillId="0" borderId="0" xfId="1"/>
    <xf numFmtId="0" fontId="26" fillId="0" borderId="0" xfId="0" applyFont="1"/>
    <xf numFmtId="0" fontId="27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32" fillId="0" borderId="0" xfId="0" applyFont="1" applyFill="1" applyBorder="1" applyAlignment="1">
      <alignment vertical="top"/>
    </xf>
    <xf numFmtId="0" fontId="33" fillId="0" borderId="0" xfId="1" applyFont="1"/>
    <xf numFmtId="1" fontId="0" fillId="0" borderId="2" xfId="0" applyNumberForma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6" fillId="0" borderId="0" xfId="0" applyFont="1" applyAlignment="1"/>
    <xf numFmtId="165" fontId="0" fillId="0" borderId="0" xfId="0" applyNumberFormat="1" applyAlignment="1">
      <alignment horizontal="left" vertical="center"/>
    </xf>
    <xf numFmtId="0" fontId="0" fillId="0" borderId="2" xfId="0" applyNumberFormat="1" applyBorder="1" applyAlignment="1">
      <alignment horizontal="center" vertical="top"/>
    </xf>
    <xf numFmtId="16" fontId="0" fillId="0" borderId="2" xfId="0" applyNumberFormat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0" fillId="0" borderId="2" xfId="0" applyBorder="1" applyAlignment="1">
      <alignment horizontal="center"/>
    </xf>
    <xf numFmtId="1" fontId="0" fillId="0" borderId="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0" xfId="0" applyNumberFormat="1" applyBorder="1" applyAlignment="1">
      <alignment horizontal="center" vertical="top"/>
    </xf>
    <xf numFmtId="0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vertical="top"/>
    </xf>
    <xf numFmtId="0" fontId="0" fillId="0" borderId="4" xfId="0" applyBorder="1" applyAlignment="1">
      <alignment vertical="top" wrapText="1"/>
    </xf>
    <xf numFmtId="0" fontId="0" fillId="0" borderId="1" xfId="0" applyBorder="1" applyAlignment="1">
      <alignment vertical="center" wrapText="1"/>
    </xf>
    <xf numFmtId="164" fontId="0" fillId="0" borderId="0" xfId="0" applyNumberFormat="1" applyFont="1" applyBorder="1" applyAlignment="1">
      <alignment horizontal="center" vertical="top"/>
    </xf>
    <xf numFmtId="0" fontId="11" fillId="0" borderId="0" xfId="0" applyFont="1" applyBorder="1" applyAlignment="1">
      <alignment wrapText="1"/>
    </xf>
    <xf numFmtId="0" fontId="10" fillId="0" borderId="1" xfId="0" applyFont="1" applyBorder="1" applyAlignment="1">
      <alignment vertical="top"/>
    </xf>
    <xf numFmtId="14" fontId="0" fillId="0" borderId="2" xfId="0" applyNumberFormat="1" applyBorder="1" applyAlignment="1">
      <alignment vertical="top"/>
    </xf>
    <xf numFmtId="0" fontId="0" fillId="0" borderId="2" xfId="0" applyBorder="1" applyAlignment="1">
      <alignment horizontal="center" vertical="top"/>
    </xf>
    <xf numFmtId="0" fontId="22" fillId="0" borderId="0" xfId="0" applyFont="1" applyAlignment="1" applyProtection="1">
      <alignment vertical="center"/>
    </xf>
    <xf numFmtId="165" fontId="0" fillId="0" borderId="0" xfId="0" applyNumberFormat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22" fillId="0" borderId="0" xfId="0" applyFont="1" applyAlignment="1" applyProtection="1">
      <alignment horizontal="left" vertical="center"/>
    </xf>
    <xf numFmtId="0" fontId="18" fillId="0" borderId="0" xfId="0" applyFont="1" applyAlignment="1" applyProtection="1">
      <alignment vertical="center"/>
    </xf>
    <xf numFmtId="0" fontId="0" fillId="0" borderId="0" xfId="0" applyProtection="1"/>
    <xf numFmtId="0" fontId="30" fillId="0" borderId="0" xfId="0" applyFont="1" applyAlignment="1" applyProtection="1">
      <alignment vertical="center"/>
    </xf>
    <xf numFmtId="14" fontId="0" fillId="0" borderId="0" xfId="0" applyNumberFormat="1" applyAlignment="1" applyProtection="1">
      <alignment horizontal="right" vertical="center"/>
    </xf>
    <xf numFmtId="0" fontId="23" fillId="0" borderId="0" xfId="0" applyFont="1" applyAlignment="1" applyProtection="1">
      <alignment vertical="center"/>
    </xf>
    <xf numFmtId="0" fontId="32" fillId="0" borderId="0" xfId="0" applyFont="1" applyProtection="1">
      <protection locked="0"/>
    </xf>
    <xf numFmtId="16" fontId="37" fillId="0" borderId="0" xfId="0" applyNumberFormat="1" applyFont="1" applyProtection="1">
      <protection locked="0"/>
    </xf>
    <xf numFmtId="0" fontId="18" fillId="0" borderId="1" xfId="0" applyFont="1" applyBorder="1" applyAlignment="1">
      <alignment vertical="top" wrapText="1"/>
    </xf>
    <xf numFmtId="0" fontId="38" fillId="0" borderId="0" xfId="0" applyFont="1"/>
    <xf numFmtId="0" fontId="39" fillId="0" borderId="0" xfId="0" applyFont="1"/>
    <xf numFmtId="14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0" fontId="2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4" fillId="0" borderId="5" xfId="0" applyFont="1" applyBorder="1" applyAlignment="1">
      <alignment horizontal="left" vertical="top" wrapText="1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27" fillId="0" borderId="0" xfId="0" applyFont="1" applyAlignment="1">
      <alignment horizontal="left" vertical="top" wrapText="1"/>
    </xf>
    <xf numFmtId="0" fontId="35" fillId="0" borderId="0" xfId="0" applyFont="1" applyAlignment="1" applyProtection="1">
      <alignment horizontal="left" vertical="top" wrapText="1"/>
      <protection locked="0"/>
    </xf>
    <xf numFmtId="0" fontId="0" fillId="0" borderId="5" xfId="0" applyBorder="1" applyAlignment="1">
      <alignment horizontal="left" vertical="top" wrapText="1"/>
    </xf>
    <xf numFmtId="0" fontId="30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3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8" fillId="0" borderId="0" xfId="0" applyFont="1" applyAlignment="1" applyProtection="1">
      <alignment horizontal="left" vertical="top" wrapText="1"/>
      <protection locked="0"/>
    </xf>
    <xf numFmtId="0" fontId="34" fillId="0" borderId="0" xfId="0" applyFont="1" applyAlignment="1" applyProtection="1">
      <alignment horizontal="left" vertical="top" wrapText="1"/>
      <protection locked="0"/>
    </xf>
  </cellXfs>
  <cellStyles count="2">
    <cellStyle name="Hyperlink" xfId="1" xr:uid="{00000000-000B-0000-0000-000008000000}"/>
    <cellStyle name="Normal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AD2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2" Type="http://schemas.openxmlformats.org/officeDocument/2006/relationships/image" Target="../media/image2.png"/><Relationship Id="rId1" Type="http://schemas.openxmlformats.org/officeDocument/2006/relationships/customXml" Target="../ink/ink1.xml"/><Relationship Id="rId6" Type="http://schemas.openxmlformats.org/officeDocument/2006/relationships/image" Target="../media/image4.png"/><Relationship Id="rId5" Type="http://schemas.openxmlformats.org/officeDocument/2006/relationships/customXml" Target="../ink/ink3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485775</xdr:colOff>
      <xdr:row>5</xdr:row>
      <xdr:rowOff>114300</xdr:rowOff>
    </xdr:from>
    <xdr:to>
      <xdr:col>13</xdr:col>
      <xdr:colOff>638175</xdr:colOff>
      <xdr:row>9</xdr:row>
      <xdr:rowOff>38100</xdr:rowOff>
    </xdr:to>
    <xdr:sp macro="[0]!aktivesBlattToPdfIntern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981825" y="1200150"/>
          <a:ext cx="3571875" cy="10668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aseline="0"/>
            <a:t>PDF Erstellen</a:t>
          </a:r>
          <a:endParaRPr lang="de-DE" sz="1800"/>
        </a:p>
      </xdr:txBody>
    </xdr:sp>
    <xdr:clientData/>
  </xdr:twoCellAnchor>
  <xdr:twoCellAnchor>
    <xdr:from>
      <xdr:col>10</xdr:col>
      <xdr:colOff>533400</xdr:colOff>
      <xdr:row>10</xdr:row>
      <xdr:rowOff>180975</xdr:rowOff>
    </xdr:from>
    <xdr:to>
      <xdr:col>13</xdr:col>
      <xdr:colOff>685800</xdr:colOff>
      <xdr:row>16</xdr:row>
      <xdr:rowOff>38100</xdr:rowOff>
    </xdr:to>
    <xdr:sp macro="[0]!MailPDFIntern" textlink="">
      <xdr:nvSpPr>
        <xdr:cNvPr id="2" name="Abgerundetes Rechteck 3">
          <a:extLst>
            <a:ext uri="{FF2B5EF4-FFF2-40B4-BE49-F238E27FC236}">
              <a16:creationId xmlns:a16="http://schemas.microsoft.com/office/drawing/2014/main" id="{00000000-0008-0000-0400-000004000000}"/>
            </a:ext>
            <a:ext uri="{147F2762-F138-4A5C-976F-8EAC2B608ADB}">
              <a16:predDERef xmlns:a16="http://schemas.microsoft.com/office/drawing/2014/main" pred="{00000000-0008-0000-0400-000003000000}"/>
            </a:ext>
          </a:extLst>
        </xdr:cNvPr>
        <xdr:cNvSpPr/>
      </xdr:nvSpPr>
      <xdr:spPr>
        <a:xfrm>
          <a:off x="7296150" y="2714625"/>
          <a:ext cx="3810000" cy="1209675"/>
        </a:xfrm>
        <a:prstGeom prst="roundRect">
          <a:avLst/>
        </a:prstGeom>
        <a:solidFill>
          <a:srgbClr val="EAD2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/>
            <a:t>Email</a:t>
          </a:r>
          <a:r>
            <a:rPr lang="de-DE" sz="1800" baseline="0"/>
            <a:t> Erstellen</a:t>
          </a:r>
          <a:endParaRPr lang="de-DE" sz="1800"/>
        </a:p>
      </xdr:txBody>
    </xdr:sp>
    <xdr:clientData/>
  </xdr:twoCellAnchor>
  <xdr:twoCellAnchor editAs="oneCell">
    <xdr:from>
      <xdr:col>7</xdr:col>
      <xdr:colOff>142876</xdr:colOff>
      <xdr:row>1</xdr:row>
      <xdr:rowOff>57151</xdr:rowOff>
    </xdr:from>
    <xdr:to>
      <xdr:col>8</xdr:col>
      <xdr:colOff>1034763</xdr:colOff>
      <xdr:row>3</xdr:row>
      <xdr:rowOff>142876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10026" y="323851"/>
          <a:ext cx="1472912" cy="514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485775</xdr:colOff>
      <xdr:row>5</xdr:row>
      <xdr:rowOff>114300</xdr:rowOff>
    </xdr:from>
    <xdr:to>
      <xdr:col>13</xdr:col>
      <xdr:colOff>638175</xdr:colOff>
      <xdr:row>9</xdr:row>
      <xdr:rowOff>38100</xdr:rowOff>
    </xdr:to>
    <xdr:sp macro="[0]!aktivesBlattToPdfExtern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981825" y="1200150"/>
          <a:ext cx="3571875" cy="10668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aseline="0"/>
            <a:t>PDF Erstellen</a:t>
          </a:r>
          <a:endParaRPr lang="de-DE" sz="1800"/>
        </a:p>
      </xdr:txBody>
    </xdr:sp>
    <xdr:clientData/>
  </xdr:twoCellAnchor>
  <xdr:twoCellAnchor>
    <xdr:from>
      <xdr:col>10</xdr:col>
      <xdr:colOff>485775</xdr:colOff>
      <xdr:row>11</xdr:row>
      <xdr:rowOff>0</xdr:rowOff>
    </xdr:from>
    <xdr:to>
      <xdr:col>13</xdr:col>
      <xdr:colOff>638175</xdr:colOff>
      <xdr:row>16</xdr:row>
      <xdr:rowOff>57150</xdr:rowOff>
    </xdr:to>
    <xdr:sp macro="[0]!MailPDFExtern" textlink="">
      <xdr:nvSpPr>
        <xdr:cNvPr id="3" name="Abgerundetes Rechtec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981825" y="2619375"/>
          <a:ext cx="3571875" cy="1066800"/>
        </a:xfrm>
        <a:prstGeom prst="roundRect">
          <a:avLst/>
        </a:prstGeom>
        <a:solidFill>
          <a:srgbClr val="EAD2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/>
            <a:t>Email</a:t>
          </a:r>
          <a:r>
            <a:rPr lang="de-DE" sz="1800" baseline="0"/>
            <a:t> Erstellen</a:t>
          </a:r>
          <a:endParaRPr lang="de-DE" sz="1800"/>
        </a:p>
      </xdr:txBody>
    </xdr:sp>
    <xdr:clientData/>
  </xdr:twoCellAnchor>
  <xdr:twoCellAnchor editAs="oneCell">
    <xdr:from>
      <xdr:col>11</xdr:col>
      <xdr:colOff>1553110</xdr:colOff>
      <xdr:row>13</xdr:row>
      <xdr:rowOff>90620</xdr:rowOff>
    </xdr:from>
    <xdr:to>
      <xdr:col>12</xdr:col>
      <xdr:colOff>4990</xdr:colOff>
      <xdr:row>13</xdr:row>
      <xdr:rowOff>112220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">
          <xdr14:nvContentPartPr>
            <xdr14:cNvPr id="4" name="Freihand 3">
              <a:extLst>
                <a:ext uri="{FF2B5EF4-FFF2-40B4-BE49-F238E27FC236}">
                  <a16:creationId xmlns:a16="http://schemas.microsoft.com/office/drawing/2014/main" id="{3E9D9BDF-FDE1-489C-9711-D69C73295F2D}"/>
                </a:ext>
              </a:extLst>
            </xdr14:cNvPr>
            <xdr14:cNvContentPartPr/>
          </xdr14:nvContentPartPr>
          <xdr14:nvPr macro=""/>
          <xdr14:xfrm>
            <a:off x="9065160" y="3532320"/>
            <a:ext cx="24120" cy="21600"/>
          </xdr14:xfrm>
        </xdr:contentPart>
      </mc:Choice>
      <mc:Fallback xmlns="">
        <xdr:pic>
          <xdr:nvPicPr>
            <xdr:cNvPr id="4" name="Freihand 3">
              <a:extLst>
                <a:ext uri="{FF2B5EF4-FFF2-40B4-BE49-F238E27FC236}">
                  <a16:creationId xmlns:a16="http://schemas.microsoft.com/office/drawing/2014/main" id="{3E9D9BDF-FDE1-489C-9711-D69C73295F2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056520" y="3523320"/>
              <a:ext cx="417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1559590</xdr:colOff>
      <xdr:row>12</xdr:row>
      <xdr:rowOff>532940</xdr:rowOff>
    </xdr:from>
    <xdr:to>
      <xdr:col>11</xdr:col>
      <xdr:colOff>1531375</xdr:colOff>
      <xdr:row>12</xdr:row>
      <xdr:rowOff>533300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">
          <xdr14:nvContentPartPr>
            <xdr14:cNvPr id="5" name="Freihand 4">
              <a:extLst>
                <a:ext uri="{FF2B5EF4-FFF2-40B4-BE49-F238E27FC236}">
                  <a16:creationId xmlns:a16="http://schemas.microsoft.com/office/drawing/2014/main" id="{D8EDCB27-D66E-4283-B908-4D3ED7D0B8FB}"/>
                </a:ext>
              </a:extLst>
            </xdr14:cNvPr>
            <xdr14:cNvContentPartPr/>
          </xdr14:nvContentPartPr>
          <xdr14:nvPr macro=""/>
          <xdr14:xfrm>
            <a:off x="9071640" y="3441240"/>
            <a:ext cx="360" cy="360"/>
          </xdr14:xfrm>
        </xdr:contentPart>
      </mc:Choice>
      <mc:Fallback xmlns="">
        <xdr:pic>
          <xdr:nvPicPr>
            <xdr:cNvPr id="5" name="Freihand 4">
              <a:extLst>
                <a:ext uri="{FF2B5EF4-FFF2-40B4-BE49-F238E27FC236}">
                  <a16:creationId xmlns:a16="http://schemas.microsoft.com/office/drawing/2014/main" id="{D8EDCB27-D66E-4283-B908-4D3ED7D0B8F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063000" y="34326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1580470</xdr:colOff>
      <xdr:row>12</xdr:row>
      <xdr:rowOff>454100</xdr:rowOff>
    </xdr:from>
    <xdr:to>
      <xdr:col>12</xdr:col>
      <xdr:colOff>3080</xdr:colOff>
      <xdr:row>12</xdr:row>
      <xdr:rowOff>476060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">
          <xdr14:nvContentPartPr>
            <xdr14:cNvPr id="6" name="Freihand 5">
              <a:extLst>
                <a:ext uri="{FF2B5EF4-FFF2-40B4-BE49-F238E27FC236}">
                  <a16:creationId xmlns:a16="http://schemas.microsoft.com/office/drawing/2014/main" id="{023C5F82-2C5C-4E72-8350-2AFCEB752CC3}"/>
                </a:ext>
              </a:extLst>
            </xdr14:cNvPr>
            <xdr14:cNvContentPartPr/>
          </xdr14:nvContentPartPr>
          <xdr14:nvPr macro=""/>
          <xdr14:xfrm>
            <a:off x="9092520" y="3362400"/>
            <a:ext cx="29160" cy="21960"/>
          </xdr14:xfrm>
        </xdr:contentPart>
      </mc:Choice>
      <mc:Fallback xmlns="">
        <xdr:pic>
          <xdr:nvPicPr>
            <xdr:cNvPr id="6" name="Freihand 5">
              <a:extLst>
                <a:ext uri="{FF2B5EF4-FFF2-40B4-BE49-F238E27FC236}">
                  <a16:creationId xmlns:a16="http://schemas.microsoft.com/office/drawing/2014/main" id="{023C5F82-2C5C-4E72-8350-2AFCEB752CC3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083520" y="3353760"/>
              <a:ext cx="468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837070</xdr:colOff>
      <xdr:row>13</xdr:row>
      <xdr:rowOff>56420</xdr:rowOff>
    </xdr:from>
    <xdr:to>
      <xdr:col>11</xdr:col>
      <xdr:colOff>842470</xdr:colOff>
      <xdr:row>13</xdr:row>
      <xdr:rowOff>60380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7">
          <xdr14:nvContentPartPr>
            <xdr14:cNvPr id="9" name="Freihand 8">
              <a:extLst>
                <a:ext uri="{FF2B5EF4-FFF2-40B4-BE49-F238E27FC236}">
                  <a16:creationId xmlns:a16="http://schemas.microsoft.com/office/drawing/2014/main" id="{BA678ADD-43BA-4A12-8D8F-992612A264B9}"/>
                </a:ext>
              </a:extLst>
            </xdr14:cNvPr>
            <xdr14:cNvContentPartPr/>
          </xdr14:nvContentPartPr>
          <xdr14:nvPr macro=""/>
          <xdr14:xfrm>
            <a:off x="8349120" y="3498120"/>
            <a:ext cx="5400" cy="3960"/>
          </xdr14:xfrm>
        </xdr:contentPart>
      </mc:Choice>
      <mc:Fallback xmlns="">
        <xdr:pic>
          <xdr:nvPicPr>
            <xdr:cNvPr id="9" name="Freihand 8">
              <a:extLst>
                <a:ext uri="{FF2B5EF4-FFF2-40B4-BE49-F238E27FC236}">
                  <a16:creationId xmlns:a16="http://schemas.microsoft.com/office/drawing/2014/main" id="{BA678ADD-43BA-4A12-8D8F-992612A264B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8340480" y="3489480"/>
              <a:ext cx="23040" cy="21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7-16T10:50:47.952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561 0 19199 234523 81292,'0'0'0'0'0,"0"0"0"0"0,0 0 0 0 0,-51 2 1080 0 0,-34 2-8 0 0,-8 2 8 0 0,-18 1 0-5112-620,27 0-640 5112 620,7-1 8-4411-676,35-1 0 4411 676,25-1 0 0-1418,17-1-424 0 1418,8-1 16-3398-721,18 0-8 3398 721,-9-1 8 315-1398,17 1-800-315 1398,-17-1 16 0 0,8 1 0 0 0,9 0 0 309-1390,-8 0-16087-309 1390,-10-1 11223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7-16T10:50:50.973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1 17287 227884 59802,'0'0'0'0'0,"0"0"0"0"0,0 0 0 0 0,0 0 1024 0 0,0 0 0 0 0,0 0 0 0 0,0 0 8 0 0,0 0-448 0 0,0 0 8 0 0,0 0 0 0 0,0 0 0 0 0,0 0-632 0 0,0 0 16 0 0,0 0 0 0 0,0 0-8 0 0,0 0-17695 0 0,0 0 11823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7-16T10:50:51.166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0 1 20095 223480 61726,'0'0'0'0'0,"0"0"0"0"0,0 0 0 0 0,0 0 576 0 0,0 0 0 0 0,36 3 0 0 0,30 5-8 0 0,30 3-416 0 0,13 3 16 0 0,-13-1-17207 0 0,-18-2 11367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7-16T10:50:53.966"/>
    </inkml:context>
    <inkml:brush xml:id="br0">
      <inkml:brushProperty name="width" value="0.1" units="cm"/>
      <inkml:brushProperty name="height" value="0.6" units="cm"/>
      <inkml:brushProperty name="color" value="#849398"/>
      <inkml:brushProperty name="inkEffects" value="pencil"/>
    </inkml:brush>
  </inkml:definitions>
  <inkml:trace contextRef="#ctx0" brushRef="#br0">1 8 10848 239499 48251,'0'0'0'0'0,"0"0"0"0"0,0 0 0 0 0,0 0 304 0 0,0 0 8 0 0,0 0-8 0 0,4 1 0 0 0,1 0-9360 0 0,-1 0 6040 0 0</inkml:trace>
  <inkml:trace contextRef="#ctx0" brushRef="#br0" timeOffset="178.35">14 3 14776 240427 51663,'0'0'0'0'0,"-2"0"0"0"0,0 0 0 0 0,0-1 632 0 0,-1 0 8 0 0,0 1-1 0 0,2 1 1 0 0,2 0-608 0 0,1 0 0 0 0,0 0 8 0 0,-1 0-8 914-801,1-1-13135-914 801,-2 1 8743 0 0</inkml:trace>
</inkml:ink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Ansicht1" id="{F0808563-2EA8-422C-B68C-120EB2743820}">
    <nsvFilter filterId="{00000000-0009-0000-0000-000000000000}" ref="A1:J1166" tableId="0">
      <sortRules>
        <sortRule colId="2">
          <sortCondition ref="C1:C1166"/>
        </sortRule>
      </sortRules>
    </nsvFilter>
  </namedSheetView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info@alfons-weber-gmbh.com" TargetMode="External"/><Relationship Id="rId18" Type="http://schemas.openxmlformats.org/officeDocument/2006/relationships/hyperlink" Target="mailto:kontakt@mainz-elektro.de" TargetMode="External"/><Relationship Id="rId26" Type="http://schemas.openxmlformats.org/officeDocument/2006/relationships/hyperlink" Target="mailto:metallbau-hess@web.de" TargetMode="External"/><Relationship Id="rId3" Type="http://schemas.openxmlformats.org/officeDocument/2006/relationships/hyperlink" Target="mailto:hausmeister.schnitzler@gmail.com" TargetMode="External"/><Relationship Id="rId21" Type="http://schemas.openxmlformats.org/officeDocument/2006/relationships/hyperlink" Target="mailto:info@aufzugtechnik-schott.de" TargetMode="External"/><Relationship Id="rId34" Type="http://schemas.openxmlformats.org/officeDocument/2006/relationships/drawing" Target="../drawings/drawing1.xml"/><Relationship Id="rId7" Type="http://schemas.openxmlformats.org/officeDocument/2006/relationships/hyperlink" Target="mailto:info@areal-property.de" TargetMode="External"/><Relationship Id="rId12" Type="http://schemas.openxmlformats.org/officeDocument/2006/relationships/hyperlink" Target="mailto:altbausanierung@jensgroten.de" TargetMode="External"/><Relationship Id="rId17" Type="http://schemas.openxmlformats.org/officeDocument/2006/relationships/hyperlink" Target="mailto:info@rother-tore.de" TargetMode="External"/><Relationship Id="rId25" Type="http://schemas.openxmlformats.org/officeDocument/2006/relationships/hyperlink" Target="mailto:info@elektrosahin.de" TargetMode="External"/><Relationship Id="rId33" Type="http://schemas.openxmlformats.org/officeDocument/2006/relationships/printerSettings" Target="../printerSettings/printerSettings4.bin"/><Relationship Id="rId2" Type="http://schemas.openxmlformats.org/officeDocument/2006/relationships/hyperlink" Target="mailto:andreas.stachon66@arcor.de" TargetMode="External"/><Relationship Id="rId16" Type="http://schemas.openxmlformats.org/officeDocument/2006/relationships/hyperlink" Target="mailto:info@achternbosch-kaarst.de" TargetMode="External"/><Relationship Id="rId20" Type="http://schemas.openxmlformats.org/officeDocument/2006/relationships/hyperlink" Target="mailto:team@rolladen-muellers.de" TargetMode="External"/><Relationship Id="rId29" Type="http://schemas.openxmlformats.org/officeDocument/2006/relationships/hyperlink" Target="mailto:k.wensing@athome-immo.de" TargetMode="External"/><Relationship Id="rId1" Type="http://schemas.openxmlformats.org/officeDocument/2006/relationships/hyperlink" Target="mailto:c.schlenke@athome-immo.de" TargetMode="External"/><Relationship Id="rId6" Type="http://schemas.openxmlformats.org/officeDocument/2006/relationships/hyperlink" Target="mailto:info@areal-property.de" TargetMode="External"/><Relationship Id="rId11" Type="http://schemas.openxmlformats.org/officeDocument/2006/relationships/hyperlink" Target="mailto:timhentschel38@gmail.com;" TargetMode="External"/><Relationship Id="rId24" Type="http://schemas.openxmlformats.org/officeDocument/2006/relationships/hyperlink" Target="mailto:info@alfons-weber-gmbh.com" TargetMode="External"/><Relationship Id="rId32" Type="http://schemas.openxmlformats.org/officeDocument/2006/relationships/hyperlink" Target="mailto:moritz.loechner@loechner-immo.de" TargetMode="External"/><Relationship Id="rId5" Type="http://schemas.openxmlformats.org/officeDocument/2006/relationships/hyperlink" Target="mailto:h.scheulen@loechner-immo.de" TargetMode="External"/><Relationship Id="rId15" Type="http://schemas.openxmlformats.org/officeDocument/2006/relationships/hyperlink" Target="mailto:h.neumann_gmbh@t-online.de" TargetMode="External"/><Relationship Id="rId23" Type="http://schemas.openxmlformats.org/officeDocument/2006/relationships/hyperlink" Target="mailto:i.koch@bodenbelag-koch.de" TargetMode="External"/><Relationship Id="rId28" Type="http://schemas.openxmlformats.org/officeDocument/2006/relationships/hyperlink" Target="mailto:info@wbh-dachdeckerei.de" TargetMode="External"/><Relationship Id="rId10" Type="http://schemas.openxmlformats.org/officeDocument/2006/relationships/hyperlink" Target="mailto:info@areal-property.de" TargetMode="External"/><Relationship Id="rId19" Type="http://schemas.openxmlformats.org/officeDocument/2006/relationships/hyperlink" Target="mailto:dwingartz@mailisis.de" TargetMode="External"/><Relationship Id="rId31" Type="http://schemas.openxmlformats.org/officeDocument/2006/relationships/hyperlink" Target="mailto:h.scheulen@loechner-immo.de" TargetMode="External"/><Relationship Id="rId4" Type="http://schemas.openxmlformats.org/officeDocument/2006/relationships/hyperlink" Target="mailto:c.schlenke@athome-immo.de" TargetMode="External"/><Relationship Id="rId9" Type="http://schemas.openxmlformats.org/officeDocument/2006/relationships/hyperlink" Target="mailto:a.drezek@gmx.de" TargetMode="External"/><Relationship Id="rId14" Type="http://schemas.openxmlformats.org/officeDocument/2006/relationships/hyperlink" Target="mailto:info@immerath-gmbh.de" TargetMode="External"/><Relationship Id="rId22" Type="http://schemas.openxmlformats.org/officeDocument/2006/relationships/hyperlink" Target="mailto:info@stoetzel-rolladen.de" TargetMode="External"/><Relationship Id="rId27" Type="http://schemas.openxmlformats.org/officeDocument/2006/relationships/hyperlink" Target="mailto:r@loechner-capital.de" TargetMode="External"/><Relationship Id="rId30" Type="http://schemas.openxmlformats.org/officeDocument/2006/relationships/hyperlink" Target="mailto:c.schlenke@athome-immo.de" TargetMode="External"/><Relationship Id="rId8" Type="http://schemas.openxmlformats.org/officeDocument/2006/relationships/hyperlink" Target="mailto:info@areal-property.de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altbausanierung@jensgroten.de" TargetMode="External"/><Relationship Id="rId18" Type="http://schemas.openxmlformats.org/officeDocument/2006/relationships/hyperlink" Target="mailto:info@rother-tore.de" TargetMode="External"/><Relationship Id="rId26" Type="http://schemas.openxmlformats.org/officeDocument/2006/relationships/hyperlink" Target="mailto:info@elektrosahin.de" TargetMode="External"/><Relationship Id="rId39" Type="http://schemas.openxmlformats.org/officeDocument/2006/relationships/hyperlink" Target="mailto:kontakt@schreinerei-matter.de" TargetMode="External"/><Relationship Id="rId21" Type="http://schemas.openxmlformats.org/officeDocument/2006/relationships/hyperlink" Target="mailto:team@rolladen-muellers.de" TargetMode="External"/><Relationship Id="rId34" Type="http://schemas.openxmlformats.org/officeDocument/2006/relationships/hyperlink" Target="mailto:moritz.loechner@loechner-immo.de" TargetMode="External"/><Relationship Id="rId42" Type="http://schemas.openxmlformats.org/officeDocument/2006/relationships/hyperlink" Target="mailto:kozlowskijob@gmail.com" TargetMode="External"/><Relationship Id="rId47" Type="http://schemas.openxmlformats.org/officeDocument/2006/relationships/hyperlink" Target="mailto:aufzugservice.overlach@t-online.de" TargetMode="External"/><Relationship Id="rId50" Type="http://schemas.openxmlformats.org/officeDocument/2006/relationships/printerSettings" Target="../printerSettings/printerSettings5.bin"/><Relationship Id="rId7" Type="http://schemas.openxmlformats.org/officeDocument/2006/relationships/hyperlink" Target="mailto:info@areal-property.de" TargetMode="External"/><Relationship Id="rId2" Type="http://schemas.openxmlformats.org/officeDocument/2006/relationships/hyperlink" Target="mailto:r@loechner-capital.de" TargetMode="External"/><Relationship Id="rId16" Type="http://schemas.openxmlformats.org/officeDocument/2006/relationships/hyperlink" Target="mailto:h.neumann_gmbh@t-online.de" TargetMode="External"/><Relationship Id="rId29" Type="http://schemas.openxmlformats.org/officeDocument/2006/relationships/hyperlink" Target="mailto:info@wbh-dachdeckerei.de" TargetMode="External"/><Relationship Id="rId11" Type="http://schemas.openxmlformats.org/officeDocument/2006/relationships/hyperlink" Target="mailto:info@areal-property.de" TargetMode="External"/><Relationship Id="rId24" Type="http://schemas.openxmlformats.org/officeDocument/2006/relationships/hyperlink" Target="mailto:i.koch@bodenbelag-koch.de" TargetMode="External"/><Relationship Id="rId32" Type="http://schemas.openxmlformats.org/officeDocument/2006/relationships/hyperlink" Target="mailto:c.schlenke@athome-immo.de" TargetMode="External"/><Relationship Id="rId37" Type="http://schemas.openxmlformats.org/officeDocument/2006/relationships/hyperlink" Target="mailto:d.grueter@neite-gmbh.de" TargetMode="External"/><Relationship Id="rId40" Type="http://schemas.openxmlformats.org/officeDocument/2006/relationships/hyperlink" Target="mailto:info@rohrreinigung-jeroschewski.de" TargetMode="External"/><Relationship Id="rId45" Type="http://schemas.openxmlformats.org/officeDocument/2006/relationships/hyperlink" Target="mailto:c.schlenke@athome-immo.de" TargetMode="External"/><Relationship Id="rId5" Type="http://schemas.openxmlformats.org/officeDocument/2006/relationships/hyperlink" Target="mailto:c.schlenke@athome-immo.de" TargetMode="External"/><Relationship Id="rId15" Type="http://schemas.openxmlformats.org/officeDocument/2006/relationships/hyperlink" Target="mailto:info@immerath-gmbh.de" TargetMode="External"/><Relationship Id="rId23" Type="http://schemas.openxmlformats.org/officeDocument/2006/relationships/hyperlink" Target="mailto:info@stoetzel-rolladen.de" TargetMode="External"/><Relationship Id="rId28" Type="http://schemas.openxmlformats.org/officeDocument/2006/relationships/hyperlink" Target="mailto:info@wbh-dachdeckerei.de" TargetMode="External"/><Relationship Id="rId36" Type="http://schemas.openxmlformats.org/officeDocument/2006/relationships/hyperlink" Target="mailto:info@schreinerei-kueppers.de" TargetMode="External"/><Relationship Id="rId49" Type="http://schemas.openxmlformats.org/officeDocument/2006/relationships/hyperlink" Target="mailto:zorn-bedachungen@web.de" TargetMode="External"/><Relationship Id="rId10" Type="http://schemas.openxmlformats.org/officeDocument/2006/relationships/hyperlink" Target="mailto:a.drezek@gmx.de" TargetMode="External"/><Relationship Id="rId19" Type="http://schemas.openxmlformats.org/officeDocument/2006/relationships/hyperlink" Target="mailto:kontakt@mainz-elektro.de" TargetMode="External"/><Relationship Id="rId31" Type="http://schemas.openxmlformats.org/officeDocument/2006/relationships/hyperlink" Target="mailto:k.wensing@athome-immo.de" TargetMode="External"/><Relationship Id="rId44" Type="http://schemas.openxmlformats.org/officeDocument/2006/relationships/hyperlink" Target="mailto:service@achim-kessner.de" TargetMode="External"/><Relationship Id="rId4" Type="http://schemas.openxmlformats.org/officeDocument/2006/relationships/hyperlink" Target="mailto:hausmeister.schnitzler@gmail.com" TargetMode="External"/><Relationship Id="rId9" Type="http://schemas.openxmlformats.org/officeDocument/2006/relationships/hyperlink" Target="mailto:info@areal-property.de" TargetMode="External"/><Relationship Id="rId14" Type="http://schemas.openxmlformats.org/officeDocument/2006/relationships/hyperlink" Target="mailto:info@alfons-weber-gmbh.com" TargetMode="External"/><Relationship Id="rId22" Type="http://schemas.openxmlformats.org/officeDocument/2006/relationships/hyperlink" Target="mailto:info@aufzugtechnik-schott.de" TargetMode="External"/><Relationship Id="rId27" Type="http://schemas.openxmlformats.org/officeDocument/2006/relationships/hyperlink" Target="mailto:metallbau-hess@web.de" TargetMode="External"/><Relationship Id="rId30" Type="http://schemas.openxmlformats.org/officeDocument/2006/relationships/hyperlink" Target="mailto:a.drezek@gmx.de" TargetMode="External"/><Relationship Id="rId35" Type="http://schemas.openxmlformats.org/officeDocument/2006/relationships/hyperlink" Target="mailto:kozlowskijob@gmail.com" TargetMode="External"/><Relationship Id="rId43" Type="http://schemas.openxmlformats.org/officeDocument/2006/relationships/hyperlink" Target="mailto:info@marmor-kunze.de" TargetMode="External"/><Relationship Id="rId48" Type="http://schemas.openxmlformats.org/officeDocument/2006/relationships/hyperlink" Target="mailto:kontakt@die-blauen-Engel.com" TargetMode="External"/><Relationship Id="rId8" Type="http://schemas.openxmlformats.org/officeDocument/2006/relationships/hyperlink" Target="mailto:info@areal-property.de" TargetMode="External"/><Relationship Id="rId51" Type="http://schemas.openxmlformats.org/officeDocument/2006/relationships/drawing" Target="../drawings/drawing2.xml"/><Relationship Id="rId3" Type="http://schemas.openxmlformats.org/officeDocument/2006/relationships/hyperlink" Target="mailto:andreas.stachon66@arcor.de" TargetMode="External"/><Relationship Id="rId12" Type="http://schemas.openxmlformats.org/officeDocument/2006/relationships/hyperlink" Target="mailto:timhentschel38@gmail.com;" TargetMode="External"/><Relationship Id="rId17" Type="http://schemas.openxmlformats.org/officeDocument/2006/relationships/hyperlink" Target="mailto:info@achternbosch-kaarst.de" TargetMode="External"/><Relationship Id="rId25" Type="http://schemas.openxmlformats.org/officeDocument/2006/relationships/hyperlink" Target="mailto:info@alfons-weber-gmbh.com" TargetMode="External"/><Relationship Id="rId33" Type="http://schemas.openxmlformats.org/officeDocument/2006/relationships/hyperlink" Target="mailto:h.scheulen@loechner-immo.de" TargetMode="External"/><Relationship Id="rId38" Type="http://schemas.openxmlformats.org/officeDocument/2006/relationships/hyperlink" Target="mailto:info@glas-scholl.de" TargetMode="External"/><Relationship Id="rId46" Type="http://schemas.openxmlformats.org/officeDocument/2006/relationships/hyperlink" Target="mailto:einetter@t-online.de" TargetMode="External"/><Relationship Id="rId20" Type="http://schemas.openxmlformats.org/officeDocument/2006/relationships/hyperlink" Target="mailto:dwingartz@mailisis.de" TargetMode="External"/><Relationship Id="rId41" Type="http://schemas.openxmlformats.org/officeDocument/2006/relationships/hyperlink" Target="mailto:auftragsannahme@daschner-gmbh.de" TargetMode="External"/><Relationship Id="rId1" Type="http://schemas.openxmlformats.org/officeDocument/2006/relationships/hyperlink" Target="mailto:h.scheulen@loechner-immo.de" TargetMode="External"/><Relationship Id="rId6" Type="http://schemas.openxmlformats.org/officeDocument/2006/relationships/hyperlink" Target="mailto:h.scheulen@loechner-immo.d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var/folders/w_/mvxc7dtj3y3dlnd1kp0qm5980000gn/T/com.microsoft.Outlook/Outlook%20Temp/Auftrag%20Nr.%20%2020-108%20-%2022%20-%20200325.pdf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P1302"/>
  <sheetViews>
    <sheetView zoomScaleNormal="100" zoomScalePageLayoutView="110" workbookViewId="0">
      <pane xSplit="1" ySplit="1" topLeftCell="B317" activePane="bottomRight" state="frozen"/>
      <selection pane="topRight" activeCell="B1" sqref="B1"/>
      <selection pane="bottomLeft" activeCell="A2" sqref="A2"/>
      <selection pane="bottomRight" activeCell="D358" sqref="D358"/>
    </sheetView>
  </sheetViews>
  <sheetFormatPr baseColWidth="10" defaultColWidth="11.5" defaultRowHeight="15" x14ac:dyDescent="0.2"/>
  <cols>
    <col min="1" max="1" width="7.1640625" style="9" customWidth="1"/>
    <col min="2" max="2" width="8.33203125" style="9" customWidth="1"/>
    <col min="3" max="3" width="6" style="9" customWidth="1"/>
    <col min="4" max="4" width="16.33203125" customWidth="1"/>
    <col min="5" max="5" width="14.33203125" customWidth="1"/>
    <col min="6" max="6" width="19.33203125" bestFit="1" customWidth="1"/>
    <col min="7" max="7" width="43.5" style="15" customWidth="1"/>
    <col min="8" max="8" width="8.33203125" customWidth="1"/>
    <col min="9" max="9" width="11" customWidth="1"/>
    <col min="10" max="10" width="11.1640625" customWidth="1"/>
    <col min="11" max="11" width="11.5" style="25"/>
    <col min="13" max="13" width="16.5" bestFit="1" customWidth="1"/>
    <col min="15" max="15" width="9.6640625" bestFit="1" customWidth="1"/>
    <col min="16" max="16" width="31.83203125" customWidth="1"/>
  </cols>
  <sheetData>
    <row r="1" spans="1:10" ht="30" x14ac:dyDescent="0.2">
      <c r="A1" s="13" t="s">
        <v>0</v>
      </c>
      <c r="B1" s="11" t="s">
        <v>1</v>
      </c>
      <c r="C1" s="7" t="s">
        <v>2</v>
      </c>
      <c r="D1" s="2" t="s">
        <v>3</v>
      </c>
      <c r="E1" s="2" t="s">
        <v>4</v>
      </c>
      <c r="F1" s="2" t="s">
        <v>5</v>
      </c>
      <c r="G1" s="14" t="s">
        <v>6</v>
      </c>
      <c r="H1" s="5" t="s">
        <v>7</v>
      </c>
      <c r="I1" s="6" t="s">
        <v>8</v>
      </c>
      <c r="J1" s="5"/>
    </row>
    <row r="2" spans="1:10" ht="16" x14ac:dyDescent="0.2">
      <c r="A2" s="16">
        <v>1</v>
      </c>
      <c r="B2" s="34">
        <v>43102</v>
      </c>
      <c r="C2" s="16">
        <v>10</v>
      </c>
      <c r="D2" s="17" t="s">
        <v>9</v>
      </c>
      <c r="E2" s="17" t="s">
        <v>10</v>
      </c>
      <c r="F2" s="17" t="s">
        <v>11</v>
      </c>
      <c r="G2" s="18" t="s">
        <v>12</v>
      </c>
      <c r="H2" s="17" t="s">
        <v>13</v>
      </c>
      <c r="I2" s="21" t="s">
        <v>14</v>
      </c>
      <c r="J2" s="21" t="s">
        <v>14</v>
      </c>
    </row>
    <row r="3" spans="1:10" ht="16" x14ac:dyDescent="0.2">
      <c r="A3" s="16">
        <v>2</v>
      </c>
      <c r="B3" s="34">
        <v>43103</v>
      </c>
      <c r="C3" s="16">
        <v>45</v>
      </c>
      <c r="D3" s="17" t="s">
        <v>15</v>
      </c>
      <c r="E3" s="17" t="s">
        <v>16</v>
      </c>
      <c r="F3" s="17" t="s">
        <v>17</v>
      </c>
      <c r="G3" s="18" t="s">
        <v>18</v>
      </c>
      <c r="H3" s="17" t="s">
        <v>13</v>
      </c>
      <c r="I3" s="29" t="s">
        <v>19</v>
      </c>
      <c r="J3" s="29" t="s">
        <v>19</v>
      </c>
    </row>
    <row r="4" spans="1:10" ht="16" x14ac:dyDescent="0.2">
      <c r="A4" s="16">
        <v>3</v>
      </c>
      <c r="B4" s="34">
        <v>43103</v>
      </c>
      <c r="C4" s="16">
        <v>45</v>
      </c>
      <c r="D4" s="17" t="s">
        <v>15</v>
      </c>
      <c r="E4" s="17" t="s">
        <v>16</v>
      </c>
      <c r="F4" s="17" t="s">
        <v>17</v>
      </c>
      <c r="G4" s="18" t="s">
        <v>20</v>
      </c>
      <c r="H4" s="17" t="s">
        <v>13</v>
      </c>
      <c r="I4" s="17" t="s">
        <v>14</v>
      </c>
      <c r="J4" s="20" t="s">
        <v>14</v>
      </c>
    </row>
    <row r="5" spans="1:10" ht="16" x14ac:dyDescent="0.2">
      <c r="A5" s="16">
        <v>4</v>
      </c>
      <c r="B5" s="34">
        <v>43103</v>
      </c>
      <c r="C5" s="16">
        <v>45</v>
      </c>
      <c r="D5" s="17" t="s">
        <v>15</v>
      </c>
      <c r="E5" s="17" t="s">
        <v>21</v>
      </c>
      <c r="F5" s="17"/>
      <c r="G5" s="18" t="s">
        <v>22</v>
      </c>
      <c r="H5" s="17" t="s">
        <v>23</v>
      </c>
      <c r="I5" s="17" t="s">
        <v>24</v>
      </c>
      <c r="J5" s="20" t="s">
        <v>25</v>
      </c>
    </row>
    <row r="6" spans="1:10" ht="16" x14ac:dyDescent="0.2">
      <c r="A6" s="16">
        <v>5</v>
      </c>
      <c r="B6" s="34">
        <v>43103</v>
      </c>
      <c r="C6" s="16">
        <v>41</v>
      </c>
      <c r="D6" s="17" t="s">
        <v>26</v>
      </c>
      <c r="E6" s="17" t="s">
        <v>27</v>
      </c>
      <c r="F6" s="17" t="s">
        <v>28</v>
      </c>
      <c r="G6" s="18" t="s">
        <v>29</v>
      </c>
      <c r="H6" s="17" t="s">
        <v>23</v>
      </c>
      <c r="I6" s="17" t="s">
        <v>30</v>
      </c>
      <c r="J6" s="20" t="s">
        <v>30</v>
      </c>
    </row>
    <row r="7" spans="1:10" ht="32" x14ac:dyDescent="0.2">
      <c r="A7" s="16">
        <v>6</v>
      </c>
      <c r="B7" s="34">
        <v>43104</v>
      </c>
      <c r="C7" s="16">
        <v>21</v>
      </c>
      <c r="D7" s="17" t="s">
        <v>31</v>
      </c>
      <c r="E7" s="17" t="s">
        <v>32</v>
      </c>
      <c r="F7" s="17" t="s">
        <v>33</v>
      </c>
      <c r="G7" s="18" t="s">
        <v>34</v>
      </c>
      <c r="H7" s="17" t="s">
        <v>13</v>
      </c>
      <c r="I7" s="21" t="s">
        <v>19</v>
      </c>
      <c r="J7" s="21" t="s">
        <v>19</v>
      </c>
    </row>
    <row r="8" spans="1:10" ht="16" x14ac:dyDescent="0.2">
      <c r="A8" s="16">
        <v>7</v>
      </c>
      <c r="B8" s="34">
        <v>43104</v>
      </c>
      <c r="C8" s="16">
        <v>19</v>
      </c>
      <c r="D8" s="17" t="s">
        <v>35</v>
      </c>
      <c r="E8" s="17" t="s">
        <v>36</v>
      </c>
      <c r="F8" s="17"/>
      <c r="G8" s="18" t="s">
        <v>37</v>
      </c>
      <c r="H8" s="17" t="s">
        <v>13</v>
      </c>
      <c r="I8" s="17" t="s">
        <v>19</v>
      </c>
      <c r="J8" s="69" t="s">
        <v>38</v>
      </c>
    </row>
    <row r="9" spans="1:10" ht="16" x14ac:dyDescent="0.2">
      <c r="A9" s="16">
        <v>8</v>
      </c>
      <c r="B9" s="34">
        <v>43104</v>
      </c>
      <c r="C9" s="16">
        <v>32</v>
      </c>
      <c r="D9" s="17" t="s">
        <v>39</v>
      </c>
      <c r="E9" s="17" t="s">
        <v>40</v>
      </c>
      <c r="F9" s="17" t="s">
        <v>41</v>
      </c>
      <c r="G9" s="18" t="s">
        <v>42</v>
      </c>
      <c r="H9" s="17" t="s">
        <v>13</v>
      </c>
      <c r="I9" s="17" t="s">
        <v>14</v>
      </c>
      <c r="J9" s="20" t="s">
        <v>14</v>
      </c>
    </row>
    <row r="10" spans="1:10" ht="16" x14ac:dyDescent="0.2">
      <c r="A10" s="16">
        <v>9</v>
      </c>
      <c r="B10" s="34">
        <v>43104</v>
      </c>
      <c r="C10" s="16">
        <v>10</v>
      </c>
      <c r="D10" s="17" t="s">
        <v>9</v>
      </c>
      <c r="E10" s="17" t="s">
        <v>43</v>
      </c>
      <c r="F10" s="17"/>
      <c r="G10" s="18" t="s">
        <v>44</v>
      </c>
      <c r="H10" s="17" t="s">
        <v>23</v>
      </c>
      <c r="I10" s="17" t="s">
        <v>45</v>
      </c>
      <c r="J10" s="20" t="s">
        <v>45</v>
      </c>
    </row>
    <row r="11" spans="1:10" ht="16" x14ac:dyDescent="0.2">
      <c r="A11" s="16">
        <v>10</v>
      </c>
      <c r="B11" s="34">
        <v>43104</v>
      </c>
      <c r="C11" s="16">
        <v>21</v>
      </c>
      <c r="D11" s="17" t="s">
        <v>31</v>
      </c>
      <c r="E11" s="17" t="s">
        <v>46</v>
      </c>
      <c r="F11" s="17" t="s">
        <v>47</v>
      </c>
      <c r="G11" s="18" t="s">
        <v>29</v>
      </c>
      <c r="H11" s="17" t="s">
        <v>23</v>
      </c>
      <c r="I11" s="17" t="s">
        <v>48</v>
      </c>
      <c r="J11" s="20" t="s">
        <v>48</v>
      </c>
    </row>
    <row r="12" spans="1:10" ht="16" x14ac:dyDescent="0.2">
      <c r="A12" s="16">
        <v>11</v>
      </c>
      <c r="B12" s="34">
        <v>43109</v>
      </c>
      <c r="C12" s="16">
        <v>34</v>
      </c>
      <c r="D12" s="17" t="s">
        <v>49</v>
      </c>
      <c r="E12" s="65" t="s">
        <v>50</v>
      </c>
      <c r="F12" s="17" t="s">
        <v>51</v>
      </c>
      <c r="G12" s="18" t="s">
        <v>52</v>
      </c>
      <c r="H12" s="17" t="s">
        <v>23</v>
      </c>
      <c r="I12" s="57" t="s">
        <v>53</v>
      </c>
      <c r="J12" s="29" t="s">
        <v>54</v>
      </c>
    </row>
    <row r="13" spans="1:10" ht="16" x14ac:dyDescent="0.2">
      <c r="A13" s="16">
        <v>12</v>
      </c>
      <c r="B13" s="34">
        <v>43112</v>
      </c>
      <c r="C13" s="16">
        <v>7</v>
      </c>
      <c r="D13" s="17" t="s">
        <v>55</v>
      </c>
      <c r="E13" s="17" t="s">
        <v>46</v>
      </c>
      <c r="F13" s="17" t="s">
        <v>56</v>
      </c>
      <c r="G13" s="18" t="s">
        <v>57</v>
      </c>
      <c r="H13" s="17" t="s">
        <v>58</v>
      </c>
      <c r="I13" s="23" t="s">
        <v>14</v>
      </c>
      <c r="J13" s="20" t="s">
        <v>14</v>
      </c>
    </row>
    <row r="14" spans="1:10" ht="16" x14ac:dyDescent="0.2">
      <c r="A14" s="16">
        <v>13</v>
      </c>
      <c r="B14" s="34">
        <v>43115</v>
      </c>
      <c r="C14" s="16">
        <v>24</v>
      </c>
      <c r="D14" s="17" t="s">
        <v>59</v>
      </c>
      <c r="E14" s="17" t="s">
        <v>60</v>
      </c>
      <c r="F14" s="17" t="s">
        <v>17</v>
      </c>
      <c r="G14" s="18" t="s">
        <v>61</v>
      </c>
      <c r="H14" s="17" t="s">
        <v>62</v>
      </c>
      <c r="I14" s="17" t="s">
        <v>14</v>
      </c>
      <c r="J14" s="20" t="s">
        <v>14</v>
      </c>
    </row>
    <row r="15" spans="1:10" ht="16" x14ac:dyDescent="0.2">
      <c r="A15" s="16">
        <v>14</v>
      </c>
      <c r="B15" s="34">
        <v>43115</v>
      </c>
      <c r="C15" s="16">
        <v>27</v>
      </c>
      <c r="D15" s="17" t="s">
        <v>63</v>
      </c>
      <c r="E15" s="17" t="s">
        <v>64</v>
      </c>
      <c r="F15" s="17" t="s">
        <v>65</v>
      </c>
      <c r="G15" s="18" t="s">
        <v>66</v>
      </c>
      <c r="H15" s="17" t="s">
        <v>62</v>
      </c>
      <c r="I15" s="23" t="s">
        <v>14</v>
      </c>
      <c r="J15" s="23" t="s">
        <v>14</v>
      </c>
    </row>
    <row r="16" spans="1:10" ht="16" x14ac:dyDescent="0.2">
      <c r="A16" s="16">
        <v>15</v>
      </c>
      <c r="B16" s="34">
        <v>43115</v>
      </c>
      <c r="C16" s="16" t="s">
        <v>67</v>
      </c>
      <c r="D16" s="17" t="s">
        <v>68</v>
      </c>
      <c r="E16" s="17" t="s">
        <v>69</v>
      </c>
      <c r="F16" s="17"/>
      <c r="G16" s="18" t="s">
        <v>70</v>
      </c>
      <c r="H16" s="17" t="s">
        <v>62</v>
      </c>
      <c r="I16" s="17" t="s">
        <v>14</v>
      </c>
      <c r="J16" s="20" t="s">
        <v>14</v>
      </c>
    </row>
    <row r="17" spans="1:10" ht="16" x14ac:dyDescent="0.2">
      <c r="A17" s="16">
        <v>16</v>
      </c>
      <c r="B17" s="34">
        <v>43115</v>
      </c>
      <c r="C17" s="16">
        <v>24</v>
      </c>
      <c r="D17" s="17" t="s">
        <v>59</v>
      </c>
      <c r="E17" s="17" t="s">
        <v>71</v>
      </c>
      <c r="F17" s="17" t="s">
        <v>17</v>
      </c>
      <c r="G17" s="18" t="s">
        <v>72</v>
      </c>
      <c r="H17" s="17" t="s">
        <v>62</v>
      </c>
      <c r="I17" s="17" t="s">
        <v>71</v>
      </c>
      <c r="J17" s="20" t="s">
        <v>71</v>
      </c>
    </row>
    <row r="18" spans="1:10" ht="16" x14ac:dyDescent="0.2">
      <c r="A18" s="16">
        <v>17</v>
      </c>
      <c r="B18" s="34">
        <v>43115</v>
      </c>
      <c r="C18" s="16" t="s">
        <v>67</v>
      </c>
      <c r="D18" s="17" t="s">
        <v>68</v>
      </c>
      <c r="E18" s="17" t="s">
        <v>73</v>
      </c>
      <c r="F18" s="17"/>
      <c r="G18" s="18" t="s">
        <v>74</v>
      </c>
      <c r="H18" s="17" t="s">
        <v>62</v>
      </c>
      <c r="I18" s="67" t="s">
        <v>45</v>
      </c>
      <c r="J18" s="22" t="s">
        <v>45</v>
      </c>
    </row>
    <row r="19" spans="1:10" ht="16" x14ac:dyDescent="0.2">
      <c r="A19" s="16">
        <v>18</v>
      </c>
      <c r="B19" s="34">
        <v>43115</v>
      </c>
      <c r="C19" s="16">
        <v>44</v>
      </c>
      <c r="D19" s="17" t="s">
        <v>75</v>
      </c>
      <c r="E19" s="17" t="s">
        <v>27</v>
      </c>
      <c r="F19" s="17" t="s">
        <v>76</v>
      </c>
      <c r="G19" s="18" t="s">
        <v>77</v>
      </c>
      <c r="H19" s="17" t="s">
        <v>23</v>
      </c>
      <c r="I19" s="23" t="s">
        <v>19</v>
      </c>
      <c r="J19" s="23" t="s">
        <v>19</v>
      </c>
    </row>
    <row r="20" spans="1:10" ht="16" x14ac:dyDescent="0.2">
      <c r="A20" s="16">
        <v>19</v>
      </c>
      <c r="B20" s="34">
        <v>43117</v>
      </c>
      <c r="C20" s="16">
        <v>27</v>
      </c>
      <c r="D20" s="17" t="s">
        <v>63</v>
      </c>
      <c r="E20" s="17" t="s">
        <v>78</v>
      </c>
      <c r="F20" s="17"/>
      <c r="G20" s="18" t="s">
        <v>79</v>
      </c>
      <c r="H20" s="17" t="s">
        <v>62</v>
      </c>
      <c r="I20" s="17" t="s">
        <v>14</v>
      </c>
      <c r="J20" s="20" t="s">
        <v>14</v>
      </c>
    </row>
    <row r="21" spans="1:10" ht="16" x14ac:dyDescent="0.2">
      <c r="A21" s="16">
        <v>20</v>
      </c>
      <c r="B21" s="34">
        <v>43117</v>
      </c>
      <c r="C21" s="16" t="s">
        <v>80</v>
      </c>
      <c r="D21" s="17" t="s">
        <v>81</v>
      </c>
      <c r="E21" s="17"/>
      <c r="F21" s="17" t="s">
        <v>82</v>
      </c>
      <c r="G21" s="18" t="s">
        <v>83</v>
      </c>
      <c r="H21" s="17" t="s">
        <v>62</v>
      </c>
      <c r="I21" s="17" t="s">
        <v>84</v>
      </c>
      <c r="J21" s="23" t="s">
        <v>84</v>
      </c>
    </row>
    <row r="22" spans="1:10" ht="16" x14ac:dyDescent="0.2">
      <c r="A22" s="16">
        <v>21</v>
      </c>
      <c r="B22" s="34">
        <v>43117</v>
      </c>
      <c r="C22" s="16">
        <v>33</v>
      </c>
      <c r="D22" s="17" t="s">
        <v>85</v>
      </c>
      <c r="E22" s="17" t="s">
        <v>86</v>
      </c>
      <c r="F22" s="17" t="s">
        <v>87</v>
      </c>
      <c r="G22" s="18" t="s">
        <v>88</v>
      </c>
      <c r="H22" s="17" t="s">
        <v>62</v>
      </c>
      <c r="I22" s="17" t="s">
        <v>84</v>
      </c>
      <c r="J22" s="20" t="s">
        <v>84</v>
      </c>
    </row>
    <row r="23" spans="1:10" ht="16" x14ac:dyDescent="0.2">
      <c r="A23" s="16">
        <v>22</v>
      </c>
      <c r="B23" s="34">
        <v>43117</v>
      </c>
      <c r="C23" s="16">
        <v>12</v>
      </c>
      <c r="D23" s="17" t="s">
        <v>89</v>
      </c>
      <c r="E23" s="17" t="s">
        <v>90</v>
      </c>
      <c r="F23" s="17" t="s">
        <v>91</v>
      </c>
      <c r="G23" s="18" t="s">
        <v>92</v>
      </c>
      <c r="H23" s="17" t="s">
        <v>23</v>
      </c>
      <c r="I23" s="17" t="s">
        <v>93</v>
      </c>
      <c r="J23" s="20" t="s">
        <v>93</v>
      </c>
    </row>
    <row r="24" spans="1:10" ht="16" x14ac:dyDescent="0.2">
      <c r="A24" s="16">
        <v>23</v>
      </c>
      <c r="B24" s="34">
        <v>43117</v>
      </c>
      <c r="C24" s="16">
        <v>33</v>
      </c>
      <c r="D24" s="17" t="s">
        <v>85</v>
      </c>
      <c r="E24" s="17" t="s">
        <v>94</v>
      </c>
      <c r="F24" s="17" t="s">
        <v>95</v>
      </c>
      <c r="G24" s="18" t="s">
        <v>96</v>
      </c>
      <c r="H24" s="17" t="s">
        <v>62</v>
      </c>
      <c r="I24" s="17" t="s">
        <v>14</v>
      </c>
      <c r="J24" s="22" t="s">
        <v>97</v>
      </c>
    </row>
    <row r="25" spans="1:10" ht="16" x14ac:dyDescent="0.2">
      <c r="A25" s="16">
        <v>24</v>
      </c>
      <c r="B25" s="34">
        <v>43119</v>
      </c>
      <c r="C25" s="16">
        <v>29</v>
      </c>
      <c r="D25" s="17" t="s">
        <v>98</v>
      </c>
      <c r="E25" s="17" t="s">
        <v>43</v>
      </c>
      <c r="F25" s="17"/>
      <c r="G25" s="18" t="s">
        <v>99</v>
      </c>
      <c r="H25" s="17" t="s">
        <v>23</v>
      </c>
      <c r="I25" s="17" t="s">
        <v>45</v>
      </c>
      <c r="J25" s="20" t="s">
        <v>45</v>
      </c>
    </row>
    <row r="26" spans="1:10" ht="16" x14ac:dyDescent="0.2">
      <c r="A26" s="16">
        <v>25</v>
      </c>
      <c r="B26" s="34">
        <v>43119</v>
      </c>
      <c r="C26" s="16">
        <v>20</v>
      </c>
      <c r="D26" s="17" t="s">
        <v>100</v>
      </c>
      <c r="E26" s="17" t="s">
        <v>101</v>
      </c>
      <c r="F26" s="17" t="s">
        <v>102</v>
      </c>
      <c r="G26" s="18" t="s">
        <v>103</v>
      </c>
      <c r="H26" s="17" t="s">
        <v>13</v>
      </c>
      <c r="I26" s="17" t="s">
        <v>104</v>
      </c>
      <c r="J26" s="20" t="s">
        <v>104</v>
      </c>
    </row>
    <row r="27" spans="1:10" ht="16" x14ac:dyDescent="0.2">
      <c r="A27" s="16">
        <v>26</v>
      </c>
      <c r="B27" s="34">
        <v>43119</v>
      </c>
      <c r="C27" s="16">
        <v>20</v>
      </c>
      <c r="D27" s="17" t="s">
        <v>100</v>
      </c>
      <c r="E27" s="17" t="s">
        <v>27</v>
      </c>
      <c r="F27" s="17" t="s">
        <v>105</v>
      </c>
      <c r="G27" s="18" t="s">
        <v>103</v>
      </c>
      <c r="H27" s="17" t="s">
        <v>13</v>
      </c>
      <c r="I27" s="17" t="s">
        <v>104</v>
      </c>
      <c r="J27" s="20" t="s">
        <v>104</v>
      </c>
    </row>
    <row r="28" spans="1:10" ht="16" x14ac:dyDescent="0.2">
      <c r="A28" s="16">
        <v>27</v>
      </c>
      <c r="B28" s="34">
        <v>43458</v>
      </c>
      <c r="C28" s="16">
        <v>39</v>
      </c>
      <c r="D28" s="17" t="s">
        <v>106</v>
      </c>
      <c r="E28" s="17" t="s">
        <v>107</v>
      </c>
      <c r="F28" s="17" t="s">
        <v>108</v>
      </c>
      <c r="G28" s="18" t="s">
        <v>109</v>
      </c>
      <c r="H28" s="17" t="s">
        <v>23</v>
      </c>
      <c r="I28" s="17" t="s">
        <v>14</v>
      </c>
      <c r="J28" s="20" t="s">
        <v>14</v>
      </c>
    </row>
    <row r="29" spans="1:10" ht="16" x14ac:dyDescent="0.2">
      <c r="A29" s="16">
        <v>28</v>
      </c>
      <c r="B29" s="34">
        <v>43124</v>
      </c>
      <c r="C29" s="16" t="s">
        <v>80</v>
      </c>
      <c r="D29" s="17" t="s">
        <v>110</v>
      </c>
      <c r="E29" s="17"/>
      <c r="F29" s="17"/>
      <c r="G29" s="18" t="s">
        <v>111</v>
      </c>
      <c r="H29" s="17" t="s">
        <v>62</v>
      </c>
      <c r="I29" s="17" t="s">
        <v>84</v>
      </c>
      <c r="J29" s="20" t="s">
        <v>84</v>
      </c>
    </row>
    <row r="30" spans="1:10" ht="16" x14ac:dyDescent="0.2">
      <c r="A30" s="16">
        <v>29</v>
      </c>
      <c r="B30" s="34">
        <v>43125</v>
      </c>
      <c r="C30" s="16">
        <v>27</v>
      </c>
      <c r="D30" s="17" t="s">
        <v>63</v>
      </c>
      <c r="E30" s="17" t="s">
        <v>60</v>
      </c>
      <c r="F30" s="17" t="s">
        <v>112</v>
      </c>
      <c r="G30" s="18" t="s">
        <v>113</v>
      </c>
      <c r="H30" s="17" t="s">
        <v>62</v>
      </c>
      <c r="I30" s="38" t="s">
        <v>14</v>
      </c>
      <c r="J30" s="38" t="s">
        <v>114</v>
      </c>
    </row>
    <row r="31" spans="1:10" ht="16" x14ac:dyDescent="0.2">
      <c r="A31" s="16">
        <v>30</v>
      </c>
      <c r="B31" s="34">
        <v>43125</v>
      </c>
      <c r="C31" s="16">
        <v>24</v>
      </c>
      <c r="D31" s="17" t="s">
        <v>59</v>
      </c>
      <c r="E31" s="17" t="s">
        <v>60</v>
      </c>
      <c r="F31" s="17" t="s">
        <v>115</v>
      </c>
      <c r="G31" s="18" t="s">
        <v>61</v>
      </c>
      <c r="H31" s="17" t="s">
        <v>62</v>
      </c>
      <c r="I31" s="17" t="s">
        <v>14</v>
      </c>
      <c r="J31" s="17" t="s">
        <v>114</v>
      </c>
    </row>
    <row r="32" spans="1:10" x14ac:dyDescent="0.2">
      <c r="A32" s="16">
        <v>31</v>
      </c>
      <c r="B32" s="34">
        <v>43125</v>
      </c>
      <c r="C32" s="16">
        <v>26</v>
      </c>
      <c r="D32" s="17" t="s">
        <v>110</v>
      </c>
      <c r="E32" s="17" t="s">
        <v>64</v>
      </c>
      <c r="F32" s="17" t="s">
        <v>17</v>
      </c>
      <c r="G32" s="46" t="s">
        <v>61</v>
      </c>
      <c r="H32" s="17" t="s">
        <v>62</v>
      </c>
      <c r="I32" s="17" t="s">
        <v>14</v>
      </c>
      <c r="J32" s="17" t="s">
        <v>14</v>
      </c>
    </row>
    <row r="33" spans="1:12" ht="16" x14ac:dyDescent="0.2">
      <c r="A33" s="16">
        <v>32</v>
      </c>
      <c r="B33" s="34">
        <v>43125</v>
      </c>
      <c r="C33" s="16">
        <v>17</v>
      </c>
      <c r="D33" s="17" t="s">
        <v>116</v>
      </c>
      <c r="E33" s="17" t="s">
        <v>117</v>
      </c>
      <c r="F33" s="17" t="s">
        <v>17</v>
      </c>
      <c r="G33" s="18" t="s">
        <v>118</v>
      </c>
      <c r="H33" s="17" t="s">
        <v>23</v>
      </c>
      <c r="I33" s="17" t="s">
        <v>119</v>
      </c>
      <c r="J33" s="20" t="s">
        <v>119</v>
      </c>
      <c r="K33" s="66"/>
    </row>
    <row r="34" spans="1:12" ht="16" x14ac:dyDescent="0.2">
      <c r="A34" s="16">
        <v>33</v>
      </c>
      <c r="B34" s="34">
        <v>43125</v>
      </c>
      <c r="C34" s="16">
        <v>31</v>
      </c>
      <c r="D34" s="17" t="s">
        <v>120</v>
      </c>
      <c r="E34" s="17" t="s">
        <v>121</v>
      </c>
      <c r="F34" s="17" t="s">
        <v>122</v>
      </c>
      <c r="G34" s="18" t="s">
        <v>123</v>
      </c>
      <c r="H34" s="17" t="s">
        <v>62</v>
      </c>
      <c r="I34" s="17" t="s">
        <v>14</v>
      </c>
      <c r="J34" s="17" t="s">
        <v>14</v>
      </c>
    </row>
    <row r="35" spans="1:12" ht="16" x14ac:dyDescent="0.2">
      <c r="A35" s="16">
        <v>34</v>
      </c>
      <c r="B35" s="34">
        <v>43126</v>
      </c>
      <c r="C35" s="16">
        <v>32</v>
      </c>
      <c r="D35" s="17" t="s">
        <v>39</v>
      </c>
      <c r="E35" s="17" t="s">
        <v>60</v>
      </c>
      <c r="F35" s="17" t="s">
        <v>124</v>
      </c>
      <c r="G35" s="18" t="s">
        <v>125</v>
      </c>
      <c r="H35" s="17" t="s">
        <v>62</v>
      </c>
      <c r="I35" s="17" t="s">
        <v>19</v>
      </c>
      <c r="J35" s="21" t="s">
        <v>126</v>
      </c>
    </row>
    <row r="36" spans="1:12" ht="16" x14ac:dyDescent="0.2">
      <c r="A36" s="16">
        <v>35</v>
      </c>
      <c r="B36" s="34">
        <v>43126</v>
      </c>
      <c r="C36" s="16">
        <v>32</v>
      </c>
      <c r="D36" s="17" t="s">
        <v>39</v>
      </c>
      <c r="E36" s="17" t="s">
        <v>60</v>
      </c>
      <c r="F36" s="17" t="s">
        <v>124</v>
      </c>
      <c r="G36" s="18" t="s">
        <v>127</v>
      </c>
      <c r="H36" s="17" t="s">
        <v>62</v>
      </c>
      <c r="I36" s="17" t="s">
        <v>14</v>
      </c>
      <c r="J36" s="17" t="s">
        <v>14</v>
      </c>
    </row>
    <row r="37" spans="1:12" ht="16" x14ac:dyDescent="0.2">
      <c r="A37" s="16">
        <v>36</v>
      </c>
      <c r="B37" s="34">
        <v>43126</v>
      </c>
      <c r="C37" s="16">
        <v>25</v>
      </c>
      <c r="D37" s="17" t="s">
        <v>128</v>
      </c>
      <c r="E37" s="17" t="s">
        <v>129</v>
      </c>
      <c r="F37" s="17" t="s">
        <v>17</v>
      </c>
      <c r="G37" s="18" t="s">
        <v>130</v>
      </c>
      <c r="H37" s="17" t="s">
        <v>62</v>
      </c>
      <c r="I37" s="17" t="s">
        <v>14</v>
      </c>
      <c r="J37" s="17" t="s">
        <v>14</v>
      </c>
    </row>
    <row r="38" spans="1:12" ht="16" x14ac:dyDescent="0.2">
      <c r="A38" s="16">
        <v>37</v>
      </c>
      <c r="B38" s="34">
        <v>43129</v>
      </c>
      <c r="C38" s="16">
        <v>26</v>
      </c>
      <c r="D38" s="17" t="s">
        <v>110</v>
      </c>
      <c r="E38" s="17" t="s">
        <v>10</v>
      </c>
      <c r="F38" s="17" t="s">
        <v>131</v>
      </c>
      <c r="G38" s="18" t="s">
        <v>132</v>
      </c>
      <c r="H38" s="17" t="s">
        <v>13</v>
      </c>
      <c r="I38" s="17" t="s">
        <v>119</v>
      </c>
      <c r="J38" s="17" t="s">
        <v>119</v>
      </c>
    </row>
    <row r="39" spans="1:12" ht="16" x14ac:dyDescent="0.2">
      <c r="A39" s="16">
        <v>38</v>
      </c>
      <c r="B39" s="34">
        <v>43104</v>
      </c>
      <c r="C39" s="16">
        <v>11</v>
      </c>
      <c r="D39" s="17" t="s">
        <v>133</v>
      </c>
      <c r="E39" s="17" t="s">
        <v>134</v>
      </c>
      <c r="F39" s="17"/>
      <c r="G39" s="18" t="s">
        <v>135</v>
      </c>
      <c r="H39" s="17" t="s">
        <v>13</v>
      </c>
      <c r="I39" s="17" t="s">
        <v>136</v>
      </c>
      <c r="J39" s="17" t="s">
        <v>136</v>
      </c>
    </row>
    <row r="40" spans="1:12" ht="45.75" customHeight="1" x14ac:dyDescent="0.2">
      <c r="A40" s="16">
        <v>39</v>
      </c>
      <c r="B40" s="34">
        <v>43130</v>
      </c>
      <c r="C40" s="16">
        <v>16</v>
      </c>
      <c r="D40" s="17" t="s">
        <v>137</v>
      </c>
      <c r="E40" s="17" t="s">
        <v>138</v>
      </c>
      <c r="F40" s="17" t="s">
        <v>139</v>
      </c>
      <c r="G40" s="18" t="s">
        <v>140</v>
      </c>
      <c r="H40" s="17" t="s">
        <v>13</v>
      </c>
      <c r="I40" s="38" t="s">
        <v>119</v>
      </c>
      <c r="J40" s="56" t="s">
        <v>119</v>
      </c>
    </row>
    <row r="41" spans="1:12" ht="16" x14ac:dyDescent="0.2">
      <c r="A41" s="16">
        <v>40</v>
      </c>
      <c r="B41" s="34">
        <v>43130</v>
      </c>
      <c r="C41" s="16">
        <v>16</v>
      </c>
      <c r="D41" s="17" t="s">
        <v>137</v>
      </c>
      <c r="E41" s="17" t="s">
        <v>121</v>
      </c>
      <c r="F41" s="17" t="s">
        <v>141</v>
      </c>
      <c r="G41" s="18" t="s">
        <v>142</v>
      </c>
      <c r="H41" s="17" t="s">
        <v>13</v>
      </c>
      <c r="I41" s="17" t="s">
        <v>119</v>
      </c>
      <c r="J41" s="17" t="s">
        <v>119</v>
      </c>
      <c r="K41" s="24"/>
      <c r="L41" s="25"/>
    </row>
    <row r="42" spans="1:12" ht="16" x14ac:dyDescent="0.2">
      <c r="A42" s="16">
        <v>41</v>
      </c>
      <c r="B42" s="34">
        <v>43131</v>
      </c>
      <c r="C42" s="16">
        <v>45</v>
      </c>
      <c r="D42" s="17" t="s">
        <v>15</v>
      </c>
      <c r="E42" s="17" t="s">
        <v>16</v>
      </c>
      <c r="F42" s="17" t="s">
        <v>143</v>
      </c>
      <c r="G42" s="18" t="s">
        <v>144</v>
      </c>
      <c r="H42" s="17" t="s">
        <v>13</v>
      </c>
      <c r="I42" s="17" t="s">
        <v>145</v>
      </c>
      <c r="J42" s="17" t="s">
        <v>145</v>
      </c>
    </row>
    <row r="43" spans="1:12" ht="16" x14ac:dyDescent="0.2">
      <c r="A43" s="16">
        <v>42</v>
      </c>
      <c r="B43" s="34">
        <v>43131</v>
      </c>
      <c r="C43" s="16">
        <v>32</v>
      </c>
      <c r="D43" s="17" t="s">
        <v>39</v>
      </c>
      <c r="E43" s="17" t="s">
        <v>146</v>
      </c>
      <c r="F43" s="17" t="s">
        <v>147</v>
      </c>
      <c r="G43" s="18" t="s">
        <v>127</v>
      </c>
      <c r="H43" s="17" t="s">
        <v>62</v>
      </c>
      <c r="I43" s="23" t="s">
        <v>14</v>
      </c>
      <c r="J43" s="23" t="s">
        <v>14</v>
      </c>
      <c r="K43"/>
    </row>
    <row r="44" spans="1:12" ht="16" x14ac:dyDescent="0.2">
      <c r="A44" s="16">
        <v>43</v>
      </c>
      <c r="B44" s="34">
        <v>43132</v>
      </c>
      <c r="C44" s="16">
        <v>2</v>
      </c>
      <c r="D44" s="17" t="s">
        <v>148</v>
      </c>
      <c r="E44" s="17" t="s">
        <v>149</v>
      </c>
      <c r="F44" s="17" t="s">
        <v>150</v>
      </c>
      <c r="G44" s="18" t="s">
        <v>151</v>
      </c>
      <c r="H44" s="17" t="s">
        <v>13</v>
      </c>
      <c r="I44" s="17" t="s">
        <v>119</v>
      </c>
      <c r="J44" s="22" t="s">
        <v>119</v>
      </c>
    </row>
    <row r="45" spans="1:12" ht="16" x14ac:dyDescent="0.2">
      <c r="A45" s="16">
        <v>44</v>
      </c>
      <c r="B45" s="34">
        <v>43101</v>
      </c>
      <c r="C45" s="16">
        <v>39</v>
      </c>
      <c r="D45" s="17" t="s">
        <v>152</v>
      </c>
      <c r="E45" s="17" t="s">
        <v>10</v>
      </c>
      <c r="F45" s="17" t="s">
        <v>153</v>
      </c>
      <c r="G45" s="18" t="s">
        <v>154</v>
      </c>
      <c r="H45" s="17" t="s">
        <v>13</v>
      </c>
      <c r="I45" s="17" t="s">
        <v>119</v>
      </c>
      <c r="J45" s="20" t="s">
        <v>119</v>
      </c>
    </row>
    <row r="46" spans="1:12" ht="16" x14ac:dyDescent="0.2">
      <c r="A46" s="16">
        <v>45</v>
      </c>
      <c r="B46" s="34">
        <v>43132</v>
      </c>
      <c r="C46" s="16">
        <v>45</v>
      </c>
      <c r="D46" s="17" t="s">
        <v>155</v>
      </c>
      <c r="E46" s="17" t="s">
        <v>156</v>
      </c>
      <c r="F46" s="17"/>
      <c r="G46" s="18" t="s">
        <v>157</v>
      </c>
      <c r="H46" s="17" t="s">
        <v>23</v>
      </c>
      <c r="I46" s="17" t="s">
        <v>158</v>
      </c>
      <c r="J46" s="20" t="s">
        <v>45</v>
      </c>
    </row>
    <row r="47" spans="1:12" ht="16" x14ac:dyDescent="0.2">
      <c r="A47" s="16">
        <v>46</v>
      </c>
      <c r="B47" s="34">
        <v>43101</v>
      </c>
      <c r="C47" s="16">
        <v>24</v>
      </c>
      <c r="D47" s="17" t="s">
        <v>59</v>
      </c>
      <c r="E47" s="17" t="s">
        <v>138</v>
      </c>
      <c r="F47" s="17" t="s">
        <v>159</v>
      </c>
      <c r="G47" s="18" t="s">
        <v>160</v>
      </c>
      <c r="H47" s="17" t="s">
        <v>13</v>
      </c>
      <c r="I47" s="17" t="s">
        <v>136</v>
      </c>
      <c r="J47" s="20" t="s">
        <v>136</v>
      </c>
    </row>
    <row r="48" spans="1:12" ht="16" x14ac:dyDescent="0.2">
      <c r="A48" s="16">
        <v>47</v>
      </c>
      <c r="B48" s="34">
        <v>43133</v>
      </c>
      <c r="C48" s="16">
        <v>8</v>
      </c>
      <c r="D48" s="17" t="s">
        <v>161</v>
      </c>
      <c r="E48" s="17" t="s">
        <v>162</v>
      </c>
      <c r="F48" s="17" t="s">
        <v>163</v>
      </c>
      <c r="G48" s="18" t="s">
        <v>61</v>
      </c>
      <c r="H48" s="17" t="s">
        <v>58</v>
      </c>
      <c r="I48" s="17" t="s">
        <v>14</v>
      </c>
      <c r="J48" s="20" t="s">
        <v>14</v>
      </c>
    </row>
    <row r="49" spans="1:10" ht="16" x14ac:dyDescent="0.2">
      <c r="A49" s="16">
        <v>48</v>
      </c>
      <c r="B49" s="34">
        <v>43136</v>
      </c>
      <c r="C49" s="16">
        <v>5</v>
      </c>
      <c r="D49" s="17" t="s">
        <v>164</v>
      </c>
      <c r="E49" s="17" t="s">
        <v>165</v>
      </c>
      <c r="F49" s="17"/>
      <c r="G49" s="18" t="s">
        <v>166</v>
      </c>
      <c r="H49" s="17" t="s">
        <v>23</v>
      </c>
      <c r="I49" s="57" t="s">
        <v>167</v>
      </c>
      <c r="J49" s="21" t="s">
        <v>167</v>
      </c>
    </row>
    <row r="50" spans="1:10" ht="16" x14ac:dyDescent="0.2">
      <c r="A50" s="16">
        <v>49</v>
      </c>
      <c r="B50" s="34">
        <v>43137</v>
      </c>
      <c r="C50" s="16">
        <v>4</v>
      </c>
      <c r="D50" s="17" t="s">
        <v>168</v>
      </c>
      <c r="E50" s="17" t="s">
        <v>27</v>
      </c>
      <c r="F50" s="17" t="s">
        <v>169</v>
      </c>
      <c r="G50" s="18" t="s">
        <v>170</v>
      </c>
      <c r="H50" s="17" t="s">
        <v>58</v>
      </c>
      <c r="I50" s="17" t="s">
        <v>93</v>
      </c>
      <c r="J50" s="17" t="s">
        <v>93</v>
      </c>
    </row>
    <row r="51" spans="1:10" ht="48" x14ac:dyDescent="0.2">
      <c r="A51" s="16">
        <v>50</v>
      </c>
      <c r="B51" s="34">
        <v>43138</v>
      </c>
      <c r="C51" s="16">
        <v>38</v>
      </c>
      <c r="D51" s="17" t="s">
        <v>171</v>
      </c>
      <c r="E51" s="17" t="s">
        <v>146</v>
      </c>
      <c r="F51" s="17" t="s">
        <v>17</v>
      </c>
      <c r="G51" s="18" t="s">
        <v>172</v>
      </c>
      <c r="H51" s="17" t="s">
        <v>58</v>
      </c>
      <c r="I51" s="17" t="s">
        <v>14</v>
      </c>
      <c r="J51" s="20" t="s">
        <v>14</v>
      </c>
    </row>
    <row r="52" spans="1:10" ht="16" x14ac:dyDescent="0.2">
      <c r="A52" s="16">
        <v>51</v>
      </c>
      <c r="B52" s="34">
        <v>39485</v>
      </c>
      <c r="C52" s="16">
        <v>22</v>
      </c>
      <c r="D52" s="17" t="s">
        <v>173</v>
      </c>
      <c r="E52" s="17" t="s">
        <v>174</v>
      </c>
      <c r="F52" s="17" t="s">
        <v>175</v>
      </c>
      <c r="G52" s="18" t="s">
        <v>176</v>
      </c>
      <c r="H52" s="17" t="s">
        <v>58</v>
      </c>
      <c r="I52" s="17" t="s">
        <v>14</v>
      </c>
      <c r="J52" s="17" t="s">
        <v>14</v>
      </c>
    </row>
    <row r="53" spans="1:10" ht="32" x14ac:dyDescent="0.2">
      <c r="A53" s="16">
        <v>52</v>
      </c>
      <c r="B53" s="34">
        <v>43139</v>
      </c>
      <c r="C53" s="16">
        <v>35</v>
      </c>
      <c r="D53" s="17" t="s">
        <v>177</v>
      </c>
      <c r="E53" s="17" t="s">
        <v>178</v>
      </c>
      <c r="F53" s="17" t="s">
        <v>179</v>
      </c>
      <c r="G53" s="18" t="s">
        <v>180</v>
      </c>
      <c r="H53" s="17" t="s">
        <v>13</v>
      </c>
      <c r="I53" s="17" t="s">
        <v>181</v>
      </c>
      <c r="J53" s="20" t="s">
        <v>181</v>
      </c>
    </row>
    <row r="54" spans="1:10" ht="16" x14ac:dyDescent="0.2">
      <c r="A54" s="16">
        <v>53</v>
      </c>
      <c r="B54" s="34">
        <v>43139</v>
      </c>
      <c r="C54" s="16">
        <v>37</v>
      </c>
      <c r="D54" s="17" t="s">
        <v>182</v>
      </c>
      <c r="E54" s="17" t="s">
        <v>183</v>
      </c>
      <c r="F54" s="17" t="s">
        <v>184</v>
      </c>
      <c r="G54" s="18" t="s">
        <v>185</v>
      </c>
      <c r="H54" s="17" t="s">
        <v>62</v>
      </c>
      <c r="I54" s="17" t="s">
        <v>14</v>
      </c>
      <c r="J54" s="20" t="s">
        <v>14</v>
      </c>
    </row>
    <row r="55" spans="1:10" ht="16" x14ac:dyDescent="0.2">
      <c r="A55" s="16">
        <v>54</v>
      </c>
      <c r="B55" s="34">
        <v>43139</v>
      </c>
      <c r="C55" s="16">
        <v>36</v>
      </c>
      <c r="D55" s="17" t="s">
        <v>186</v>
      </c>
      <c r="E55" s="17" t="s">
        <v>187</v>
      </c>
      <c r="F55" s="17"/>
      <c r="G55" s="18" t="s">
        <v>188</v>
      </c>
      <c r="H55" s="17" t="s">
        <v>62</v>
      </c>
      <c r="I55" s="17" t="s">
        <v>14</v>
      </c>
      <c r="J55" s="20" t="s">
        <v>119</v>
      </c>
    </row>
    <row r="56" spans="1:10" ht="16" x14ac:dyDescent="0.2">
      <c r="A56" s="16">
        <v>55</v>
      </c>
      <c r="B56" s="34">
        <v>43144</v>
      </c>
      <c r="C56" s="16">
        <v>37</v>
      </c>
      <c r="D56" s="17" t="s">
        <v>182</v>
      </c>
      <c r="E56" s="17" t="s">
        <v>183</v>
      </c>
      <c r="F56" s="17" t="s">
        <v>184</v>
      </c>
      <c r="G56" s="18" t="s">
        <v>189</v>
      </c>
      <c r="H56" s="17" t="s">
        <v>13</v>
      </c>
      <c r="I56" s="17" t="s">
        <v>181</v>
      </c>
      <c r="J56" s="17" t="s">
        <v>181</v>
      </c>
    </row>
    <row r="57" spans="1:10" ht="16" x14ac:dyDescent="0.2">
      <c r="A57" s="16">
        <v>56</v>
      </c>
      <c r="B57" s="34">
        <v>43144</v>
      </c>
      <c r="C57" s="16">
        <v>8</v>
      </c>
      <c r="D57" s="17" t="s">
        <v>161</v>
      </c>
      <c r="E57" s="17" t="s">
        <v>129</v>
      </c>
      <c r="F57" s="17" t="s">
        <v>190</v>
      </c>
      <c r="G57" s="18" t="s">
        <v>191</v>
      </c>
      <c r="H57" s="17" t="s">
        <v>58</v>
      </c>
      <c r="I57" s="17" t="s">
        <v>14</v>
      </c>
      <c r="J57" s="17" t="s">
        <v>14</v>
      </c>
    </row>
    <row r="58" spans="1:10" ht="16" x14ac:dyDescent="0.2">
      <c r="A58" s="16">
        <v>57</v>
      </c>
      <c r="B58" s="34">
        <v>43144</v>
      </c>
      <c r="C58" s="16">
        <v>10</v>
      </c>
      <c r="D58" s="17" t="s">
        <v>9</v>
      </c>
      <c r="E58" s="17" t="s">
        <v>60</v>
      </c>
      <c r="F58" s="17" t="s">
        <v>192</v>
      </c>
      <c r="G58" s="18" t="s">
        <v>193</v>
      </c>
      <c r="H58" s="17" t="s">
        <v>58</v>
      </c>
      <c r="I58" s="17" t="s">
        <v>119</v>
      </c>
      <c r="J58" s="17" t="s">
        <v>119</v>
      </c>
    </row>
    <row r="59" spans="1:10" ht="16" x14ac:dyDescent="0.2">
      <c r="A59" s="16">
        <v>58</v>
      </c>
      <c r="B59" s="34">
        <v>43146</v>
      </c>
      <c r="C59" s="16">
        <v>8</v>
      </c>
      <c r="D59" s="17" t="s">
        <v>161</v>
      </c>
      <c r="E59" s="17" t="s">
        <v>194</v>
      </c>
      <c r="F59" s="17" t="s">
        <v>195</v>
      </c>
      <c r="G59" s="18" t="s">
        <v>196</v>
      </c>
      <c r="H59" s="17" t="s">
        <v>13</v>
      </c>
      <c r="I59" s="17" t="s">
        <v>181</v>
      </c>
      <c r="J59" s="17" t="s">
        <v>181</v>
      </c>
    </row>
    <row r="60" spans="1:10" ht="16" x14ac:dyDescent="0.2">
      <c r="A60" s="16">
        <v>59</v>
      </c>
      <c r="B60" s="34">
        <v>43150</v>
      </c>
      <c r="C60" s="16">
        <v>20</v>
      </c>
      <c r="D60" s="17" t="s">
        <v>100</v>
      </c>
      <c r="E60" s="17" t="s">
        <v>197</v>
      </c>
      <c r="F60" s="17" t="s">
        <v>198</v>
      </c>
      <c r="G60" s="18" t="s">
        <v>199</v>
      </c>
      <c r="H60" s="17" t="s">
        <v>58</v>
      </c>
      <c r="I60" s="17" t="s">
        <v>200</v>
      </c>
      <c r="J60" s="17" t="s">
        <v>200</v>
      </c>
    </row>
    <row r="61" spans="1:10" ht="16" x14ac:dyDescent="0.2">
      <c r="A61" s="16">
        <v>60</v>
      </c>
      <c r="B61" s="34">
        <v>43153</v>
      </c>
      <c r="C61" s="16">
        <v>17</v>
      </c>
      <c r="D61" s="17" t="s">
        <v>201</v>
      </c>
      <c r="E61" s="17" t="s">
        <v>202</v>
      </c>
      <c r="F61" s="17" t="s">
        <v>203</v>
      </c>
      <c r="G61" s="18" t="s">
        <v>204</v>
      </c>
      <c r="H61" s="17" t="s">
        <v>13</v>
      </c>
      <c r="I61" s="17" t="s">
        <v>119</v>
      </c>
      <c r="J61" s="17" t="s">
        <v>119</v>
      </c>
    </row>
    <row r="62" spans="1:10" ht="16" x14ac:dyDescent="0.2">
      <c r="A62" s="16">
        <v>61</v>
      </c>
      <c r="B62" s="34">
        <v>43153</v>
      </c>
      <c r="C62" s="16">
        <v>33</v>
      </c>
      <c r="D62" s="17" t="s">
        <v>85</v>
      </c>
      <c r="E62" s="17" t="s">
        <v>121</v>
      </c>
      <c r="F62" s="17" t="s">
        <v>205</v>
      </c>
      <c r="G62" s="18" t="s">
        <v>206</v>
      </c>
      <c r="H62" s="17" t="s">
        <v>13</v>
      </c>
      <c r="I62" s="17" t="s">
        <v>119</v>
      </c>
      <c r="J62" s="17" t="s">
        <v>119</v>
      </c>
    </row>
    <row r="63" spans="1:10" ht="32" x14ac:dyDescent="0.2">
      <c r="A63" s="16">
        <v>62</v>
      </c>
      <c r="B63" s="34">
        <v>43157</v>
      </c>
      <c r="C63" s="16">
        <v>18</v>
      </c>
      <c r="D63" s="17" t="s">
        <v>207</v>
      </c>
      <c r="E63" s="17" t="s">
        <v>208</v>
      </c>
      <c r="F63" s="17" t="s">
        <v>209</v>
      </c>
      <c r="G63" s="18" t="s">
        <v>210</v>
      </c>
      <c r="H63" s="17" t="s">
        <v>23</v>
      </c>
      <c r="I63" s="17" t="s">
        <v>14</v>
      </c>
      <c r="J63" s="17" t="s">
        <v>14</v>
      </c>
    </row>
    <row r="64" spans="1:10" ht="32" x14ac:dyDescent="0.2">
      <c r="A64" s="16">
        <v>63</v>
      </c>
      <c r="B64" s="34">
        <v>43157</v>
      </c>
      <c r="C64" s="16">
        <v>21</v>
      </c>
      <c r="D64" s="17" t="s">
        <v>31</v>
      </c>
      <c r="E64" s="17" t="s">
        <v>146</v>
      </c>
      <c r="F64" s="17" t="s">
        <v>211</v>
      </c>
      <c r="G64" s="18" t="s">
        <v>212</v>
      </c>
      <c r="H64" s="17" t="s">
        <v>23</v>
      </c>
      <c r="I64" s="17" t="s">
        <v>14</v>
      </c>
      <c r="J64" s="17" t="s">
        <v>14</v>
      </c>
    </row>
    <row r="65" spans="1:12" ht="16" x14ac:dyDescent="0.2">
      <c r="A65" s="16">
        <v>64</v>
      </c>
      <c r="B65" s="34">
        <v>43157</v>
      </c>
      <c r="C65" s="16">
        <v>34</v>
      </c>
      <c r="D65" s="17" t="s">
        <v>213</v>
      </c>
      <c r="E65" s="17" t="s">
        <v>60</v>
      </c>
      <c r="F65" s="17" t="s">
        <v>214</v>
      </c>
      <c r="G65" s="18" t="s">
        <v>215</v>
      </c>
      <c r="H65" s="17" t="s">
        <v>62</v>
      </c>
      <c r="I65" s="17" t="s">
        <v>14</v>
      </c>
      <c r="J65" s="57" t="s">
        <v>14</v>
      </c>
    </row>
    <row r="66" spans="1:12" ht="32" x14ac:dyDescent="0.2">
      <c r="A66" s="16">
        <v>65</v>
      </c>
      <c r="B66" s="34">
        <v>43158</v>
      </c>
      <c r="C66" s="16">
        <v>32</v>
      </c>
      <c r="D66" s="17" t="s">
        <v>39</v>
      </c>
      <c r="E66" s="17" t="s">
        <v>121</v>
      </c>
      <c r="F66" s="17" t="s">
        <v>147</v>
      </c>
      <c r="G66" s="18" t="s">
        <v>216</v>
      </c>
      <c r="H66" s="17" t="s">
        <v>13</v>
      </c>
      <c r="I66" s="17" t="s">
        <v>14</v>
      </c>
      <c r="J66" s="20" t="s">
        <v>14</v>
      </c>
    </row>
    <row r="67" spans="1:12" ht="16" x14ac:dyDescent="0.2">
      <c r="A67" s="16">
        <v>66</v>
      </c>
      <c r="B67" s="34">
        <v>43158</v>
      </c>
      <c r="C67" s="16">
        <v>13</v>
      </c>
      <c r="D67" s="17" t="s">
        <v>217</v>
      </c>
      <c r="E67" s="17" t="s">
        <v>218</v>
      </c>
      <c r="F67" s="17" t="s">
        <v>219</v>
      </c>
      <c r="G67" s="18" t="s">
        <v>220</v>
      </c>
      <c r="H67" s="17" t="s">
        <v>13</v>
      </c>
      <c r="I67" s="17" t="s">
        <v>181</v>
      </c>
      <c r="J67" s="17" t="s">
        <v>181</v>
      </c>
    </row>
    <row r="68" spans="1:12" ht="32" x14ac:dyDescent="0.2">
      <c r="A68" s="16">
        <v>67</v>
      </c>
      <c r="B68" s="34">
        <v>43160</v>
      </c>
      <c r="C68" s="16">
        <v>25</v>
      </c>
      <c r="D68" s="17" t="s">
        <v>128</v>
      </c>
      <c r="E68" s="17" t="s">
        <v>129</v>
      </c>
      <c r="F68" s="17" t="s">
        <v>221</v>
      </c>
      <c r="G68" s="18" t="s">
        <v>222</v>
      </c>
      <c r="H68" s="17" t="s">
        <v>13</v>
      </c>
      <c r="I68" s="17" t="s">
        <v>119</v>
      </c>
      <c r="J68" s="29" t="s">
        <v>119</v>
      </c>
    </row>
    <row r="69" spans="1:12" ht="15" customHeight="1" x14ac:dyDescent="0.2">
      <c r="A69" s="16">
        <v>68</v>
      </c>
      <c r="B69" s="34">
        <v>43161</v>
      </c>
      <c r="C69" s="16">
        <v>4</v>
      </c>
      <c r="D69" s="17" t="s">
        <v>168</v>
      </c>
      <c r="E69" s="17" t="s">
        <v>121</v>
      </c>
      <c r="F69" s="17" t="s">
        <v>223</v>
      </c>
      <c r="G69" s="43" t="s">
        <v>224</v>
      </c>
      <c r="H69" s="17" t="s">
        <v>62</v>
      </c>
      <c r="I69" s="17" t="s">
        <v>14</v>
      </c>
      <c r="J69" s="17" t="s">
        <v>14</v>
      </c>
      <c r="K69" s="24"/>
      <c r="L69" s="25"/>
    </row>
    <row r="70" spans="1:12" ht="32" x14ac:dyDescent="0.2">
      <c r="A70" s="16">
        <v>69</v>
      </c>
      <c r="B70" s="34">
        <v>43164</v>
      </c>
      <c r="C70" s="16">
        <v>20</v>
      </c>
      <c r="D70" s="17" t="s">
        <v>100</v>
      </c>
      <c r="E70" s="17" t="s">
        <v>225</v>
      </c>
      <c r="F70" s="17" t="s">
        <v>226</v>
      </c>
      <c r="G70" s="18" t="s">
        <v>227</v>
      </c>
      <c r="H70" s="17" t="s">
        <v>23</v>
      </c>
      <c r="I70" s="17" t="s">
        <v>14</v>
      </c>
      <c r="J70" s="17" t="s">
        <v>14</v>
      </c>
    </row>
    <row r="71" spans="1:12" ht="16" x14ac:dyDescent="0.2">
      <c r="A71" s="16">
        <v>70</v>
      </c>
      <c r="B71" s="34">
        <v>43164</v>
      </c>
      <c r="C71" s="16">
        <v>47</v>
      </c>
      <c r="D71" s="17" t="s">
        <v>228</v>
      </c>
      <c r="E71" s="17" t="s">
        <v>229</v>
      </c>
      <c r="F71" s="17"/>
      <c r="G71" s="18" t="s">
        <v>230</v>
      </c>
      <c r="H71" s="17" t="s">
        <v>23</v>
      </c>
      <c r="I71" s="17" t="s">
        <v>231</v>
      </c>
      <c r="J71" s="38" t="s">
        <v>232</v>
      </c>
    </row>
    <row r="72" spans="1:12" ht="16" x14ac:dyDescent="0.2">
      <c r="A72" s="16">
        <v>71</v>
      </c>
      <c r="B72" s="34">
        <v>43164</v>
      </c>
      <c r="C72" s="16">
        <v>4</v>
      </c>
      <c r="D72" s="17" t="s">
        <v>168</v>
      </c>
      <c r="E72" s="17" t="s">
        <v>178</v>
      </c>
      <c r="F72" s="17" t="s">
        <v>233</v>
      </c>
      <c r="G72" s="18" t="s">
        <v>234</v>
      </c>
      <c r="H72" s="17" t="s">
        <v>13</v>
      </c>
      <c r="I72" s="29" t="s">
        <v>93</v>
      </c>
      <c r="J72" s="29" t="s">
        <v>93</v>
      </c>
    </row>
    <row r="73" spans="1:12" ht="16" x14ac:dyDescent="0.2">
      <c r="A73" s="16">
        <v>72</v>
      </c>
      <c r="B73" s="34">
        <v>43165</v>
      </c>
      <c r="C73" s="16">
        <v>20</v>
      </c>
      <c r="D73" s="17" t="s">
        <v>100</v>
      </c>
      <c r="E73" s="17" t="s">
        <v>235</v>
      </c>
      <c r="F73" s="17" t="s">
        <v>102</v>
      </c>
      <c r="G73" s="18" t="s">
        <v>236</v>
      </c>
      <c r="H73" s="17" t="s">
        <v>23</v>
      </c>
      <c r="I73" s="17" t="s">
        <v>14</v>
      </c>
      <c r="J73" s="17" t="s">
        <v>114</v>
      </c>
      <c r="K73" s="43" t="s">
        <v>237</v>
      </c>
    </row>
    <row r="74" spans="1:12" ht="16" x14ac:dyDescent="0.2">
      <c r="A74" s="16">
        <v>73</v>
      </c>
      <c r="B74" s="34">
        <v>43165</v>
      </c>
      <c r="C74" s="16">
        <v>13</v>
      </c>
      <c r="D74" s="17" t="s">
        <v>238</v>
      </c>
      <c r="E74" s="17" t="s">
        <v>60</v>
      </c>
      <c r="F74" s="17" t="s">
        <v>239</v>
      </c>
      <c r="G74" s="18" t="s">
        <v>240</v>
      </c>
      <c r="H74" s="17" t="s">
        <v>23</v>
      </c>
      <c r="I74" s="23" t="s">
        <v>14</v>
      </c>
      <c r="J74" s="23" t="s">
        <v>14</v>
      </c>
    </row>
    <row r="75" spans="1:12" ht="16" x14ac:dyDescent="0.2">
      <c r="A75" s="16">
        <v>74</v>
      </c>
      <c r="B75" s="34">
        <v>43165</v>
      </c>
      <c r="C75" s="16">
        <v>38</v>
      </c>
      <c r="D75" s="17" t="s">
        <v>171</v>
      </c>
      <c r="E75" s="17" t="s">
        <v>36</v>
      </c>
      <c r="F75" s="17"/>
      <c r="G75" s="18" t="s">
        <v>241</v>
      </c>
      <c r="H75" s="17" t="s">
        <v>13</v>
      </c>
      <c r="I75" s="21" t="s">
        <v>119</v>
      </c>
      <c r="J75" s="21" t="s">
        <v>119</v>
      </c>
    </row>
    <row r="76" spans="1:12" ht="16" x14ac:dyDescent="0.2">
      <c r="A76" s="16">
        <v>75</v>
      </c>
      <c r="B76" s="34">
        <v>43137</v>
      </c>
      <c r="C76" s="16">
        <v>4</v>
      </c>
      <c r="D76" s="17" t="s">
        <v>168</v>
      </c>
      <c r="E76" s="17" t="s">
        <v>32</v>
      </c>
      <c r="F76" s="17" t="s">
        <v>242</v>
      </c>
      <c r="G76" s="18" t="s">
        <v>243</v>
      </c>
      <c r="H76" s="17" t="s">
        <v>58</v>
      </c>
      <c r="I76" s="17" t="s">
        <v>93</v>
      </c>
      <c r="J76" s="17" t="s">
        <v>93</v>
      </c>
    </row>
    <row r="77" spans="1:12" ht="16" x14ac:dyDescent="0.2">
      <c r="A77" s="16">
        <v>76</v>
      </c>
      <c r="B77" s="34">
        <v>43166</v>
      </c>
      <c r="C77" s="16">
        <v>9</v>
      </c>
      <c r="D77" s="17" t="s">
        <v>244</v>
      </c>
      <c r="E77" s="17" t="s">
        <v>245</v>
      </c>
      <c r="F77" s="17" t="s">
        <v>246</v>
      </c>
      <c r="G77" s="18" t="s">
        <v>247</v>
      </c>
      <c r="H77" s="17" t="s">
        <v>23</v>
      </c>
      <c r="I77" s="17" t="s">
        <v>14</v>
      </c>
      <c r="J77" s="17" t="s">
        <v>14</v>
      </c>
    </row>
    <row r="78" spans="1:12" ht="16" x14ac:dyDescent="0.2">
      <c r="A78" s="16">
        <v>77</v>
      </c>
      <c r="B78" s="34">
        <v>43167</v>
      </c>
      <c r="C78" s="16">
        <v>32</v>
      </c>
      <c r="D78" s="17" t="s">
        <v>39</v>
      </c>
      <c r="E78" s="17" t="s">
        <v>60</v>
      </c>
      <c r="F78" s="17" t="s">
        <v>248</v>
      </c>
      <c r="G78" s="18" t="s">
        <v>249</v>
      </c>
      <c r="H78" s="17" t="s">
        <v>13</v>
      </c>
      <c r="I78" s="17" t="s">
        <v>19</v>
      </c>
      <c r="J78" s="17" t="s">
        <v>19</v>
      </c>
    </row>
    <row r="79" spans="1:12" ht="16" x14ac:dyDescent="0.2">
      <c r="A79" s="16">
        <v>78</v>
      </c>
      <c r="B79" s="34">
        <v>43167</v>
      </c>
      <c r="C79" s="16">
        <v>2</v>
      </c>
      <c r="D79" s="17" t="s">
        <v>148</v>
      </c>
      <c r="E79" s="17" t="s">
        <v>138</v>
      </c>
      <c r="F79" s="17" t="s">
        <v>250</v>
      </c>
      <c r="G79" s="18" t="s">
        <v>251</v>
      </c>
      <c r="H79" s="17" t="s">
        <v>13</v>
      </c>
      <c r="I79" s="17" t="s">
        <v>119</v>
      </c>
      <c r="J79" s="17" t="s">
        <v>252</v>
      </c>
    </row>
    <row r="80" spans="1:12" ht="16" x14ac:dyDescent="0.2">
      <c r="A80" s="16">
        <v>79</v>
      </c>
      <c r="B80" s="34">
        <v>43167</v>
      </c>
      <c r="C80" s="16">
        <v>43</v>
      </c>
      <c r="D80" s="17" t="s">
        <v>253</v>
      </c>
      <c r="E80" s="17" t="s">
        <v>60</v>
      </c>
      <c r="F80" s="17" t="s">
        <v>254</v>
      </c>
      <c r="G80" s="18" t="s">
        <v>61</v>
      </c>
      <c r="H80" s="17" t="s">
        <v>23</v>
      </c>
      <c r="I80" s="17" t="s">
        <v>14</v>
      </c>
      <c r="J80" s="17" t="s">
        <v>252</v>
      </c>
      <c r="K80" s="26"/>
    </row>
    <row r="81" spans="1:10" ht="16" x14ac:dyDescent="0.2">
      <c r="A81" s="16">
        <v>80</v>
      </c>
      <c r="B81" s="34">
        <v>43167</v>
      </c>
      <c r="C81" s="16">
        <v>40</v>
      </c>
      <c r="D81" s="17" t="s">
        <v>255</v>
      </c>
      <c r="E81" s="17" t="s">
        <v>256</v>
      </c>
      <c r="F81" s="17" t="s">
        <v>257</v>
      </c>
      <c r="G81" s="18" t="s">
        <v>258</v>
      </c>
      <c r="H81" s="17" t="s">
        <v>13</v>
      </c>
      <c r="I81" s="17" t="s">
        <v>145</v>
      </c>
      <c r="J81" s="17" t="s">
        <v>145</v>
      </c>
    </row>
    <row r="82" spans="1:10" ht="16" x14ac:dyDescent="0.2">
      <c r="A82" s="16">
        <v>81</v>
      </c>
      <c r="B82" s="34">
        <v>43167</v>
      </c>
      <c r="C82" s="16">
        <v>38</v>
      </c>
      <c r="D82" s="17" t="s">
        <v>171</v>
      </c>
      <c r="E82" s="17" t="s">
        <v>149</v>
      </c>
      <c r="F82" s="17" t="s">
        <v>259</v>
      </c>
      <c r="G82" s="18" t="s">
        <v>260</v>
      </c>
      <c r="H82" s="17" t="s">
        <v>13</v>
      </c>
      <c r="I82" s="17" t="s">
        <v>14</v>
      </c>
      <c r="J82" s="17" t="s">
        <v>14</v>
      </c>
    </row>
    <row r="83" spans="1:10" ht="16" x14ac:dyDescent="0.2">
      <c r="A83" s="16">
        <v>82</v>
      </c>
      <c r="B83" s="34">
        <v>43167</v>
      </c>
      <c r="C83" s="16">
        <v>47</v>
      </c>
      <c r="D83" s="17" t="s">
        <v>228</v>
      </c>
      <c r="E83" s="17" t="s">
        <v>138</v>
      </c>
      <c r="F83" s="17" t="s">
        <v>261</v>
      </c>
      <c r="G83" s="18" t="s">
        <v>262</v>
      </c>
      <c r="H83" s="17" t="s">
        <v>13</v>
      </c>
      <c r="I83" s="17" t="s">
        <v>145</v>
      </c>
      <c r="J83" s="17" t="s">
        <v>145</v>
      </c>
    </row>
    <row r="84" spans="1:10" ht="16" x14ac:dyDescent="0.2">
      <c r="A84" s="16">
        <v>83</v>
      </c>
      <c r="B84" s="34">
        <v>43167</v>
      </c>
      <c r="C84" s="16">
        <v>7</v>
      </c>
      <c r="D84" s="17" t="s">
        <v>55</v>
      </c>
      <c r="E84" s="17" t="s">
        <v>263</v>
      </c>
      <c r="F84" s="17" t="s">
        <v>264</v>
      </c>
      <c r="G84" s="18" t="s">
        <v>265</v>
      </c>
      <c r="H84" s="17" t="s">
        <v>13</v>
      </c>
      <c r="I84" s="17" t="s">
        <v>181</v>
      </c>
      <c r="J84" s="17" t="s">
        <v>181</v>
      </c>
    </row>
    <row r="85" spans="1:10" ht="16" x14ac:dyDescent="0.2">
      <c r="A85" s="16">
        <v>84</v>
      </c>
      <c r="B85" s="34">
        <v>43171</v>
      </c>
      <c r="C85" s="16">
        <v>37</v>
      </c>
      <c r="D85" s="17" t="s">
        <v>182</v>
      </c>
      <c r="E85" s="17" t="s">
        <v>183</v>
      </c>
      <c r="F85" s="17" t="s">
        <v>184</v>
      </c>
      <c r="G85" s="18" t="s">
        <v>189</v>
      </c>
      <c r="H85" s="17" t="s">
        <v>13</v>
      </c>
      <c r="I85" s="17" t="s">
        <v>181</v>
      </c>
      <c r="J85" s="17" t="s">
        <v>181</v>
      </c>
    </row>
    <row r="86" spans="1:10" ht="16" x14ac:dyDescent="0.2">
      <c r="A86" s="16">
        <v>85</v>
      </c>
      <c r="B86" s="34">
        <v>43171</v>
      </c>
      <c r="C86" s="16">
        <v>2</v>
      </c>
      <c r="D86" s="17" t="s">
        <v>148</v>
      </c>
      <c r="E86" s="17" t="s">
        <v>60</v>
      </c>
      <c r="F86" s="17" t="s">
        <v>266</v>
      </c>
      <c r="G86" s="18" t="s">
        <v>267</v>
      </c>
      <c r="H86" s="17" t="s">
        <v>58</v>
      </c>
      <c r="I86" s="17" t="s">
        <v>14</v>
      </c>
      <c r="J86" s="17" t="s">
        <v>14</v>
      </c>
    </row>
    <row r="87" spans="1:10" ht="16" x14ac:dyDescent="0.2">
      <c r="A87" s="16">
        <v>86</v>
      </c>
      <c r="B87" s="34">
        <v>43171</v>
      </c>
      <c r="C87" s="16">
        <v>46</v>
      </c>
      <c r="D87" s="17" t="s">
        <v>268</v>
      </c>
      <c r="E87" s="17" t="s">
        <v>269</v>
      </c>
      <c r="F87" s="17" t="s">
        <v>17</v>
      </c>
      <c r="G87" s="18" t="s">
        <v>61</v>
      </c>
      <c r="H87" s="17" t="s">
        <v>23</v>
      </c>
      <c r="I87" s="17" t="s">
        <v>14</v>
      </c>
      <c r="J87" s="17" t="s">
        <v>14</v>
      </c>
    </row>
    <row r="88" spans="1:10" ht="16" x14ac:dyDescent="0.2">
      <c r="A88" s="16">
        <v>87</v>
      </c>
      <c r="B88" s="34">
        <v>43172</v>
      </c>
      <c r="C88" s="16">
        <v>12</v>
      </c>
      <c r="D88" s="17" t="s">
        <v>89</v>
      </c>
      <c r="E88" s="17" t="s">
        <v>270</v>
      </c>
      <c r="F88" s="17" t="s">
        <v>91</v>
      </c>
      <c r="G88" s="18" t="s">
        <v>271</v>
      </c>
      <c r="H88" s="17" t="s">
        <v>13</v>
      </c>
      <c r="I88" s="17" t="s">
        <v>272</v>
      </c>
      <c r="J88" s="17" t="s">
        <v>272</v>
      </c>
    </row>
    <row r="89" spans="1:10" ht="16" x14ac:dyDescent="0.2">
      <c r="A89" s="16">
        <v>88</v>
      </c>
      <c r="B89" s="34">
        <v>43173</v>
      </c>
      <c r="C89" s="16">
        <v>44</v>
      </c>
      <c r="D89" s="17" t="s">
        <v>75</v>
      </c>
      <c r="E89" s="17" t="s">
        <v>263</v>
      </c>
      <c r="F89" s="17" t="s">
        <v>273</v>
      </c>
      <c r="G89" s="18" t="s">
        <v>274</v>
      </c>
      <c r="H89" s="17" t="s">
        <v>13</v>
      </c>
      <c r="I89" s="17" t="s">
        <v>145</v>
      </c>
      <c r="J89" s="17" t="s">
        <v>145</v>
      </c>
    </row>
    <row r="90" spans="1:10" ht="16" x14ac:dyDescent="0.2">
      <c r="A90" s="9">
        <v>89</v>
      </c>
      <c r="B90" s="34">
        <v>43172</v>
      </c>
      <c r="C90" s="16">
        <v>47</v>
      </c>
      <c r="D90" s="17" t="s">
        <v>228</v>
      </c>
      <c r="E90" s="17" t="s">
        <v>275</v>
      </c>
      <c r="F90" s="17" t="s">
        <v>276</v>
      </c>
      <c r="G90" s="18" t="s">
        <v>277</v>
      </c>
      <c r="H90" s="17" t="s">
        <v>13</v>
      </c>
      <c r="I90" s="17" t="s">
        <v>232</v>
      </c>
      <c r="J90" s="17" t="s">
        <v>232</v>
      </c>
    </row>
    <row r="91" spans="1:10" ht="16" x14ac:dyDescent="0.2">
      <c r="A91" s="16">
        <v>90</v>
      </c>
      <c r="B91" s="34">
        <v>43173</v>
      </c>
      <c r="C91" s="16">
        <v>32</v>
      </c>
      <c r="D91" s="17" t="s">
        <v>278</v>
      </c>
      <c r="E91" s="17" t="s">
        <v>279</v>
      </c>
      <c r="F91" s="17" t="s">
        <v>181</v>
      </c>
      <c r="G91" s="18" t="s">
        <v>280</v>
      </c>
      <c r="H91" s="17" t="s">
        <v>13</v>
      </c>
      <c r="I91" s="17" t="s">
        <v>48</v>
      </c>
      <c r="J91" s="70" t="s">
        <v>38</v>
      </c>
    </row>
    <row r="92" spans="1:10" ht="16" x14ac:dyDescent="0.2">
      <c r="A92" s="9">
        <v>91</v>
      </c>
      <c r="B92" s="34">
        <v>43173</v>
      </c>
      <c r="C92" s="16">
        <v>26</v>
      </c>
      <c r="D92" s="17" t="s">
        <v>110</v>
      </c>
      <c r="E92" s="17" t="s">
        <v>263</v>
      </c>
      <c r="F92" s="17" t="s">
        <v>281</v>
      </c>
      <c r="G92" s="18" t="s">
        <v>282</v>
      </c>
      <c r="H92" s="17" t="s">
        <v>13</v>
      </c>
      <c r="I92" s="17" t="s">
        <v>181</v>
      </c>
      <c r="J92" s="17" t="s">
        <v>181</v>
      </c>
    </row>
    <row r="93" spans="1:10" ht="48" x14ac:dyDescent="0.2">
      <c r="A93" s="16">
        <v>92</v>
      </c>
      <c r="B93" s="34">
        <v>43178</v>
      </c>
      <c r="C93" s="16">
        <v>6</v>
      </c>
      <c r="D93" s="17" t="s">
        <v>283</v>
      </c>
      <c r="E93" s="17"/>
      <c r="F93" s="17"/>
      <c r="G93" s="18" t="s">
        <v>284</v>
      </c>
      <c r="H93" s="17" t="s">
        <v>23</v>
      </c>
      <c r="I93" s="17" t="s">
        <v>181</v>
      </c>
      <c r="J93" s="17" t="s">
        <v>181</v>
      </c>
    </row>
    <row r="94" spans="1:10" ht="16" x14ac:dyDescent="0.2">
      <c r="A94" s="16">
        <v>93</v>
      </c>
      <c r="B94" s="34">
        <v>43178</v>
      </c>
      <c r="C94" s="16">
        <v>44</v>
      </c>
      <c r="D94" s="17" t="s">
        <v>285</v>
      </c>
      <c r="E94" s="17" t="s">
        <v>64</v>
      </c>
      <c r="F94" s="17" t="s">
        <v>286</v>
      </c>
      <c r="G94" s="18" t="s">
        <v>287</v>
      </c>
      <c r="H94" s="17" t="s">
        <v>23</v>
      </c>
      <c r="I94" s="17" t="s">
        <v>30</v>
      </c>
      <c r="J94" s="17" t="s">
        <v>30</v>
      </c>
    </row>
    <row r="95" spans="1:10" ht="16" x14ac:dyDescent="0.2">
      <c r="A95" s="16">
        <v>94</v>
      </c>
      <c r="B95" s="34">
        <v>43180</v>
      </c>
      <c r="C95" s="16">
        <v>19</v>
      </c>
      <c r="D95" s="17" t="s">
        <v>35</v>
      </c>
      <c r="E95" s="17" t="s">
        <v>288</v>
      </c>
      <c r="F95" s="17" t="s">
        <v>289</v>
      </c>
      <c r="G95" s="18" t="s">
        <v>290</v>
      </c>
      <c r="H95" s="17" t="s">
        <v>13</v>
      </c>
      <c r="I95" s="17" t="s">
        <v>14</v>
      </c>
      <c r="J95" s="17" t="s">
        <v>14</v>
      </c>
    </row>
    <row r="96" spans="1:10" ht="16" x14ac:dyDescent="0.2">
      <c r="A96" s="16">
        <v>95</v>
      </c>
      <c r="B96" s="34">
        <v>43181</v>
      </c>
      <c r="C96" s="16">
        <v>7</v>
      </c>
      <c r="D96" s="17" t="s">
        <v>55</v>
      </c>
      <c r="E96" s="17" t="s">
        <v>291</v>
      </c>
      <c r="F96" s="17"/>
      <c r="G96" s="18" t="s">
        <v>292</v>
      </c>
      <c r="H96" s="17" t="s">
        <v>23</v>
      </c>
      <c r="I96" s="17" t="s">
        <v>14</v>
      </c>
      <c r="J96" s="17" t="s">
        <v>14</v>
      </c>
    </row>
    <row r="97" spans="1:11" ht="16" x14ac:dyDescent="0.2">
      <c r="A97" s="16">
        <v>96</v>
      </c>
      <c r="B97" s="34">
        <v>43187</v>
      </c>
      <c r="C97" s="16">
        <v>2</v>
      </c>
      <c r="D97" s="17" t="s">
        <v>148</v>
      </c>
      <c r="E97" s="17" t="s">
        <v>138</v>
      </c>
      <c r="F97" s="17" t="s">
        <v>250</v>
      </c>
      <c r="G97" s="18" t="s">
        <v>293</v>
      </c>
      <c r="H97" s="17" t="s">
        <v>13</v>
      </c>
      <c r="I97" s="17" t="s">
        <v>14</v>
      </c>
      <c r="J97" s="17" t="s">
        <v>14</v>
      </c>
    </row>
    <row r="98" spans="1:11" ht="16" x14ac:dyDescent="0.2">
      <c r="A98" s="16">
        <v>97</v>
      </c>
      <c r="B98" s="34">
        <v>43188</v>
      </c>
      <c r="C98" s="16">
        <v>38</v>
      </c>
      <c r="D98" s="17" t="s">
        <v>171</v>
      </c>
      <c r="E98" s="17" t="s">
        <v>178</v>
      </c>
      <c r="F98" s="17" t="s">
        <v>108</v>
      </c>
      <c r="G98" s="18" t="s">
        <v>294</v>
      </c>
      <c r="H98" s="17" t="s">
        <v>13</v>
      </c>
      <c r="I98" s="17" t="s">
        <v>145</v>
      </c>
      <c r="J98" s="17" t="s">
        <v>145</v>
      </c>
    </row>
    <row r="99" spans="1:11" ht="16" x14ac:dyDescent="0.2">
      <c r="A99" s="16">
        <v>98</v>
      </c>
      <c r="B99" s="34">
        <v>43188</v>
      </c>
      <c r="C99" s="16">
        <v>3</v>
      </c>
      <c r="D99" s="17" t="s">
        <v>295</v>
      </c>
      <c r="E99" s="17" t="s">
        <v>16</v>
      </c>
      <c r="F99" s="17" t="s">
        <v>17</v>
      </c>
      <c r="G99" s="18" t="s">
        <v>296</v>
      </c>
      <c r="H99" s="17" t="s">
        <v>13</v>
      </c>
      <c r="I99" s="17" t="s">
        <v>297</v>
      </c>
      <c r="J99" s="17" t="s">
        <v>298</v>
      </c>
    </row>
    <row r="100" spans="1:11" ht="16" x14ac:dyDescent="0.2">
      <c r="A100" s="16">
        <v>99</v>
      </c>
      <c r="B100" s="34">
        <v>43188</v>
      </c>
      <c r="C100" s="16">
        <v>3</v>
      </c>
      <c r="D100" s="17" t="s">
        <v>295</v>
      </c>
      <c r="E100" s="17" t="s">
        <v>16</v>
      </c>
      <c r="F100" s="17" t="s">
        <v>17</v>
      </c>
      <c r="G100" s="18" t="s">
        <v>29</v>
      </c>
      <c r="H100" s="17" t="s">
        <v>13</v>
      </c>
      <c r="I100" s="17" t="s">
        <v>48</v>
      </c>
      <c r="J100" s="17" t="s">
        <v>48</v>
      </c>
    </row>
    <row r="101" spans="1:11" ht="16" x14ac:dyDescent="0.2">
      <c r="A101" s="16">
        <v>100</v>
      </c>
      <c r="B101" s="34">
        <v>43193</v>
      </c>
      <c r="C101" s="16">
        <v>12</v>
      </c>
      <c r="D101" s="17" t="s">
        <v>89</v>
      </c>
      <c r="E101" s="17" t="s">
        <v>299</v>
      </c>
      <c r="F101" s="17" t="s">
        <v>17</v>
      </c>
      <c r="G101" s="18" t="s">
        <v>300</v>
      </c>
      <c r="H101" s="17" t="s">
        <v>23</v>
      </c>
      <c r="I101" s="17" t="s">
        <v>14</v>
      </c>
      <c r="J101" s="17" t="s">
        <v>14</v>
      </c>
    </row>
    <row r="102" spans="1:11" ht="16" x14ac:dyDescent="0.2">
      <c r="A102" s="16">
        <v>101</v>
      </c>
      <c r="B102" s="34">
        <v>43193</v>
      </c>
      <c r="C102" s="16">
        <v>2</v>
      </c>
      <c r="D102" s="17" t="s">
        <v>148</v>
      </c>
      <c r="E102" s="17" t="s">
        <v>138</v>
      </c>
      <c r="F102" s="17" t="s">
        <v>250</v>
      </c>
      <c r="G102" s="18" t="s">
        <v>301</v>
      </c>
      <c r="H102" s="17" t="s">
        <v>13</v>
      </c>
      <c r="I102" s="17" t="s">
        <v>19</v>
      </c>
      <c r="J102" s="71" t="s">
        <v>38</v>
      </c>
    </row>
    <row r="103" spans="1:11" ht="16" x14ac:dyDescent="0.2">
      <c r="A103" s="16">
        <v>102</v>
      </c>
      <c r="B103" s="34">
        <v>43194</v>
      </c>
      <c r="C103" s="16">
        <v>37</v>
      </c>
      <c r="D103" s="17" t="s">
        <v>182</v>
      </c>
      <c r="E103" s="17" t="s">
        <v>202</v>
      </c>
      <c r="F103" s="17" t="s">
        <v>302</v>
      </c>
      <c r="G103" s="18" t="s">
        <v>303</v>
      </c>
      <c r="H103" s="17" t="s">
        <v>13</v>
      </c>
      <c r="I103" s="21" t="s">
        <v>119</v>
      </c>
      <c r="J103" s="21" t="s">
        <v>119</v>
      </c>
    </row>
    <row r="104" spans="1:11" ht="16" x14ac:dyDescent="0.2">
      <c r="A104" s="16">
        <v>103</v>
      </c>
      <c r="B104" s="34">
        <v>43195</v>
      </c>
      <c r="C104" s="16">
        <v>25</v>
      </c>
      <c r="D104" s="17" t="s">
        <v>128</v>
      </c>
      <c r="E104" s="17" t="s">
        <v>129</v>
      </c>
      <c r="F104" s="17" t="s">
        <v>304</v>
      </c>
      <c r="G104" s="18" t="s">
        <v>305</v>
      </c>
      <c r="H104" s="17" t="s">
        <v>23</v>
      </c>
      <c r="I104" s="17" t="s">
        <v>306</v>
      </c>
      <c r="J104" s="17" t="s">
        <v>119</v>
      </c>
    </row>
    <row r="105" spans="1:11" ht="16" x14ac:dyDescent="0.2">
      <c r="A105" s="16">
        <v>104</v>
      </c>
      <c r="B105" s="34">
        <v>43153</v>
      </c>
      <c r="C105" s="16">
        <v>25</v>
      </c>
      <c r="D105" s="17" t="s">
        <v>128</v>
      </c>
      <c r="E105" s="17" t="s">
        <v>129</v>
      </c>
      <c r="F105" s="17" t="s">
        <v>17</v>
      </c>
      <c r="G105" s="18" t="s">
        <v>307</v>
      </c>
      <c r="H105" s="17" t="s">
        <v>13</v>
      </c>
      <c r="I105" s="17" t="s">
        <v>136</v>
      </c>
      <c r="J105" s="17" t="s">
        <v>136</v>
      </c>
    </row>
    <row r="106" spans="1:11" ht="16" x14ac:dyDescent="0.2">
      <c r="A106" s="16">
        <v>105</v>
      </c>
      <c r="B106" s="34">
        <v>43196</v>
      </c>
      <c r="C106" s="16">
        <v>32</v>
      </c>
      <c r="D106" s="17" t="s">
        <v>39</v>
      </c>
      <c r="E106" s="17" t="s">
        <v>86</v>
      </c>
      <c r="F106" s="17" t="s">
        <v>308</v>
      </c>
      <c r="G106" s="18" t="s">
        <v>309</v>
      </c>
      <c r="H106" s="17" t="s">
        <v>13</v>
      </c>
      <c r="I106" s="17" t="s">
        <v>14</v>
      </c>
      <c r="J106" s="17" t="s">
        <v>114</v>
      </c>
    </row>
    <row r="107" spans="1:11" ht="16" x14ac:dyDescent="0.2">
      <c r="A107" s="16">
        <v>106</v>
      </c>
      <c r="B107" s="34">
        <v>43196</v>
      </c>
      <c r="C107" s="16">
        <v>7</v>
      </c>
      <c r="D107" s="17" t="s">
        <v>55</v>
      </c>
      <c r="E107" s="17" t="s">
        <v>10</v>
      </c>
      <c r="F107" s="17" t="s">
        <v>310</v>
      </c>
      <c r="G107" s="18" t="s">
        <v>311</v>
      </c>
      <c r="H107" s="17" t="s">
        <v>13</v>
      </c>
      <c r="I107" s="29" t="s">
        <v>312</v>
      </c>
      <c r="J107" s="29" t="s">
        <v>312</v>
      </c>
    </row>
    <row r="108" spans="1:11" ht="16" x14ac:dyDescent="0.2">
      <c r="A108" s="16">
        <v>107</v>
      </c>
      <c r="B108" s="34">
        <v>43199</v>
      </c>
      <c r="C108" s="16">
        <v>31</v>
      </c>
      <c r="D108" s="17" t="s">
        <v>120</v>
      </c>
      <c r="E108" s="17" t="s">
        <v>94</v>
      </c>
      <c r="F108" s="17" t="s">
        <v>313</v>
      </c>
      <c r="G108" s="18" t="s">
        <v>314</v>
      </c>
      <c r="H108" s="17" t="s">
        <v>13</v>
      </c>
      <c r="I108" s="17" t="s">
        <v>119</v>
      </c>
      <c r="J108" s="17" t="s">
        <v>119</v>
      </c>
    </row>
    <row r="109" spans="1:11" ht="16" x14ac:dyDescent="0.2">
      <c r="A109" s="16">
        <v>108</v>
      </c>
      <c r="B109" s="34">
        <v>43199</v>
      </c>
      <c r="C109" s="16">
        <v>33</v>
      </c>
      <c r="D109" s="17" t="s">
        <v>85</v>
      </c>
      <c r="E109" s="17" t="s">
        <v>86</v>
      </c>
      <c r="F109" s="17" t="s">
        <v>315</v>
      </c>
      <c r="G109" s="18" t="s">
        <v>316</v>
      </c>
      <c r="H109" s="17" t="s">
        <v>13</v>
      </c>
      <c r="I109" s="17" t="s">
        <v>14</v>
      </c>
      <c r="J109" s="17" t="s">
        <v>14</v>
      </c>
    </row>
    <row r="110" spans="1:11" ht="16" x14ac:dyDescent="0.2">
      <c r="A110" s="16">
        <v>109</v>
      </c>
      <c r="B110" s="34">
        <v>43200</v>
      </c>
      <c r="C110" s="16">
        <v>12</v>
      </c>
      <c r="D110" s="17" t="s">
        <v>89</v>
      </c>
      <c r="E110" s="17" t="s">
        <v>317</v>
      </c>
      <c r="F110" s="17" t="s">
        <v>318</v>
      </c>
      <c r="G110" s="18" t="s">
        <v>319</v>
      </c>
      <c r="H110" s="17" t="s">
        <v>13</v>
      </c>
      <c r="I110" s="17" t="s">
        <v>181</v>
      </c>
      <c r="J110" s="21" t="s">
        <v>181</v>
      </c>
    </row>
    <row r="111" spans="1:11" ht="16" x14ac:dyDescent="0.2">
      <c r="A111" s="16">
        <v>110</v>
      </c>
      <c r="B111" s="34">
        <v>43200</v>
      </c>
      <c r="C111" s="16">
        <v>3</v>
      </c>
      <c r="D111" s="17" t="s">
        <v>320</v>
      </c>
      <c r="E111" s="17" t="s">
        <v>269</v>
      </c>
      <c r="F111" s="17" t="s">
        <v>321</v>
      </c>
      <c r="G111" s="18" t="s">
        <v>322</v>
      </c>
      <c r="H111" s="17" t="s">
        <v>23</v>
      </c>
      <c r="I111" s="17" t="s">
        <v>181</v>
      </c>
      <c r="J111" s="17" t="s">
        <v>181</v>
      </c>
      <c r="K111"/>
    </row>
    <row r="112" spans="1:11" ht="16" x14ac:dyDescent="0.2">
      <c r="A112" s="16">
        <v>111</v>
      </c>
      <c r="B112" s="34">
        <v>43202</v>
      </c>
      <c r="C112" s="16">
        <v>2</v>
      </c>
      <c r="D112" s="17" t="s">
        <v>148</v>
      </c>
      <c r="E112" s="17" t="s">
        <v>121</v>
      </c>
      <c r="F112" s="17" t="s">
        <v>323</v>
      </c>
      <c r="G112" s="18" t="s">
        <v>324</v>
      </c>
      <c r="H112" s="17" t="s">
        <v>13</v>
      </c>
      <c r="I112" s="17" t="s">
        <v>19</v>
      </c>
      <c r="J112" s="17" t="s">
        <v>19</v>
      </c>
    </row>
    <row r="113" spans="1:11" ht="16" x14ac:dyDescent="0.2">
      <c r="A113" s="16">
        <v>112</v>
      </c>
      <c r="B113" s="34">
        <v>43203</v>
      </c>
      <c r="C113" s="16">
        <v>11</v>
      </c>
      <c r="D113" s="17" t="s">
        <v>133</v>
      </c>
      <c r="E113" s="17" t="s">
        <v>46</v>
      </c>
      <c r="F113" s="17" t="s">
        <v>325</v>
      </c>
      <c r="G113" s="18" t="s">
        <v>326</v>
      </c>
      <c r="H113" s="17" t="s">
        <v>58</v>
      </c>
      <c r="I113" s="17" t="s">
        <v>119</v>
      </c>
      <c r="J113" s="17" t="s">
        <v>119</v>
      </c>
      <c r="K113" s="12"/>
    </row>
    <row r="114" spans="1:11" ht="16" x14ac:dyDescent="0.2">
      <c r="A114" s="16">
        <v>113</v>
      </c>
      <c r="B114" s="34">
        <v>43209</v>
      </c>
      <c r="C114" s="16">
        <v>4</v>
      </c>
      <c r="D114" s="17" t="s">
        <v>168</v>
      </c>
      <c r="E114" s="17" t="s">
        <v>10</v>
      </c>
      <c r="F114" s="17" t="s">
        <v>327</v>
      </c>
      <c r="G114" s="18" t="s">
        <v>328</v>
      </c>
      <c r="H114" s="17" t="s">
        <v>13</v>
      </c>
      <c r="I114" s="17" t="s">
        <v>329</v>
      </c>
      <c r="J114" s="70" t="s">
        <v>38</v>
      </c>
    </row>
    <row r="115" spans="1:11" ht="16" x14ac:dyDescent="0.2">
      <c r="A115" s="16">
        <v>114</v>
      </c>
      <c r="B115" s="34">
        <v>43210</v>
      </c>
      <c r="C115" s="16">
        <v>43</v>
      </c>
      <c r="D115" s="17" t="s">
        <v>75</v>
      </c>
      <c r="E115" s="17" t="s">
        <v>129</v>
      </c>
      <c r="F115" s="17" t="s">
        <v>17</v>
      </c>
      <c r="G115" s="18" t="s">
        <v>330</v>
      </c>
      <c r="H115" s="17" t="s">
        <v>13</v>
      </c>
      <c r="I115" s="17" t="s">
        <v>331</v>
      </c>
      <c r="J115" s="21" t="s">
        <v>19</v>
      </c>
    </row>
    <row r="116" spans="1:11" ht="16" x14ac:dyDescent="0.2">
      <c r="A116" s="16">
        <v>115</v>
      </c>
      <c r="B116" s="34">
        <v>43213</v>
      </c>
      <c r="C116" s="16">
        <v>25</v>
      </c>
      <c r="D116" s="17" t="s">
        <v>128</v>
      </c>
      <c r="E116" s="17" t="s">
        <v>129</v>
      </c>
      <c r="F116" s="17" t="s">
        <v>304</v>
      </c>
      <c r="G116" s="18" t="s">
        <v>29</v>
      </c>
      <c r="H116" s="17" t="s">
        <v>13</v>
      </c>
      <c r="I116" s="17" t="s">
        <v>48</v>
      </c>
      <c r="J116" s="17" t="s">
        <v>48</v>
      </c>
    </row>
    <row r="117" spans="1:11" ht="16" x14ac:dyDescent="0.2">
      <c r="A117" s="16">
        <v>116</v>
      </c>
      <c r="B117" s="34">
        <v>43213</v>
      </c>
      <c r="C117" s="16">
        <v>27</v>
      </c>
      <c r="D117" s="17" t="s">
        <v>63</v>
      </c>
      <c r="E117" s="17" t="s">
        <v>138</v>
      </c>
      <c r="F117" s="17" t="s">
        <v>332</v>
      </c>
      <c r="G117" s="18" t="s">
        <v>333</v>
      </c>
      <c r="H117" s="17" t="s">
        <v>13</v>
      </c>
      <c r="I117" s="29" t="s">
        <v>48</v>
      </c>
      <c r="J117" s="29" t="s">
        <v>48</v>
      </c>
    </row>
    <row r="118" spans="1:11" ht="16" x14ac:dyDescent="0.2">
      <c r="A118" s="16">
        <v>117</v>
      </c>
      <c r="B118" s="34">
        <v>43214</v>
      </c>
      <c r="C118" s="16">
        <v>5</v>
      </c>
      <c r="D118" s="17" t="s">
        <v>164</v>
      </c>
      <c r="E118" s="17" t="s">
        <v>334</v>
      </c>
      <c r="F118" s="17" t="s">
        <v>335</v>
      </c>
      <c r="G118" s="18" t="s">
        <v>336</v>
      </c>
      <c r="H118" s="17" t="s">
        <v>13</v>
      </c>
      <c r="I118" s="29" t="s">
        <v>119</v>
      </c>
      <c r="J118" s="29" t="s">
        <v>119</v>
      </c>
    </row>
    <row r="119" spans="1:11" ht="16" x14ac:dyDescent="0.2">
      <c r="A119" s="16">
        <v>118</v>
      </c>
      <c r="B119" s="34">
        <v>43214</v>
      </c>
      <c r="C119" s="16">
        <v>5</v>
      </c>
      <c r="D119" s="17" t="s">
        <v>164</v>
      </c>
      <c r="E119" s="17" t="s">
        <v>263</v>
      </c>
      <c r="F119" s="17" t="s">
        <v>337</v>
      </c>
      <c r="G119" s="18" t="s">
        <v>338</v>
      </c>
      <c r="H119" s="17" t="s">
        <v>13</v>
      </c>
      <c r="I119" s="29" t="s">
        <v>119</v>
      </c>
      <c r="J119" s="29" t="s">
        <v>119</v>
      </c>
    </row>
    <row r="120" spans="1:11" ht="16" x14ac:dyDescent="0.2">
      <c r="A120" s="16">
        <v>119</v>
      </c>
      <c r="B120" s="34">
        <v>43214</v>
      </c>
      <c r="C120" s="16">
        <v>3</v>
      </c>
      <c r="D120" s="17" t="s">
        <v>295</v>
      </c>
      <c r="E120" s="17" t="s">
        <v>202</v>
      </c>
      <c r="F120" s="17" t="s">
        <v>321</v>
      </c>
      <c r="G120" s="18" t="s">
        <v>339</v>
      </c>
      <c r="H120" s="17" t="s">
        <v>13</v>
      </c>
      <c r="I120" s="29" t="s">
        <v>48</v>
      </c>
      <c r="J120" s="72" t="s">
        <v>340</v>
      </c>
    </row>
    <row r="121" spans="1:11" ht="16" x14ac:dyDescent="0.2">
      <c r="A121" s="16">
        <v>120</v>
      </c>
      <c r="B121" s="34">
        <v>43215</v>
      </c>
      <c r="C121" s="16">
        <v>12</v>
      </c>
      <c r="D121" s="17" t="s">
        <v>89</v>
      </c>
      <c r="E121" s="17" t="s">
        <v>341</v>
      </c>
      <c r="F121" s="17" t="s">
        <v>17</v>
      </c>
      <c r="G121" s="18" t="s">
        <v>342</v>
      </c>
      <c r="H121" s="17" t="s">
        <v>13</v>
      </c>
      <c r="I121" s="29" t="s">
        <v>119</v>
      </c>
      <c r="J121" s="17" t="s">
        <v>119</v>
      </c>
    </row>
    <row r="122" spans="1:11" ht="16" x14ac:dyDescent="0.2">
      <c r="A122" s="16">
        <v>121</v>
      </c>
      <c r="B122" s="34">
        <v>43216</v>
      </c>
      <c r="C122" s="16">
        <v>18</v>
      </c>
      <c r="D122" s="17" t="s">
        <v>343</v>
      </c>
      <c r="E122" s="17" t="s">
        <v>344</v>
      </c>
      <c r="F122" s="17" t="s">
        <v>345</v>
      </c>
      <c r="G122" s="18" t="s">
        <v>346</v>
      </c>
      <c r="H122" s="17" t="s">
        <v>13</v>
      </c>
      <c r="I122" s="29" t="s">
        <v>48</v>
      </c>
      <c r="J122" s="29" t="s">
        <v>48</v>
      </c>
    </row>
    <row r="123" spans="1:11" ht="16" x14ac:dyDescent="0.2">
      <c r="A123" s="16">
        <v>122</v>
      </c>
      <c r="B123" s="34">
        <v>43216</v>
      </c>
      <c r="C123" s="16">
        <v>13</v>
      </c>
      <c r="D123" s="17" t="s">
        <v>217</v>
      </c>
      <c r="E123" s="17" t="s">
        <v>60</v>
      </c>
      <c r="F123" s="17" t="s">
        <v>347</v>
      </c>
      <c r="G123" s="18" t="s">
        <v>348</v>
      </c>
      <c r="H123" s="17" t="s">
        <v>13</v>
      </c>
      <c r="I123" s="29" t="s">
        <v>181</v>
      </c>
      <c r="J123" s="29" t="s">
        <v>181</v>
      </c>
    </row>
    <row r="124" spans="1:11" ht="16" x14ac:dyDescent="0.2">
      <c r="A124" s="16">
        <v>123</v>
      </c>
      <c r="B124" s="34">
        <v>43223</v>
      </c>
      <c r="C124" s="16">
        <v>11</v>
      </c>
      <c r="D124" s="17" t="s">
        <v>133</v>
      </c>
      <c r="E124" s="17" t="s">
        <v>64</v>
      </c>
      <c r="F124" s="17" t="s">
        <v>349</v>
      </c>
      <c r="G124" s="18" t="s">
        <v>350</v>
      </c>
      <c r="H124" s="17" t="s">
        <v>58</v>
      </c>
      <c r="I124" s="17" t="s">
        <v>48</v>
      </c>
      <c r="J124" s="17" t="s">
        <v>48</v>
      </c>
    </row>
    <row r="125" spans="1:11" ht="16" x14ac:dyDescent="0.2">
      <c r="A125" s="16">
        <v>124</v>
      </c>
      <c r="B125" s="34">
        <v>43216</v>
      </c>
      <c r="C125" s="16">
        <v>25</v>
      </c>
      <c r="D125" s="17" t="s">
        <v>128</v>
      </c>
      <c r="E125" s="17" t="s">
        <v>351</v>
      </c>
      <c r="F125" s="17" t="s">
        <v>352</v>
      </c>
      <c r="G125" s="18" t="s">
        <v>353</v>
      </c>
      <c r="H125" s="17" t="s">
        <v>13</v>
      </c>
      <c r="I125" s="29" t="s">
        <v>76</v>
      </c>
      <c r="J125" s="29" t="s">
        <v>354</v>
      </c>
    </row>
    <row r="126" spans="1:11" ht="16" x14ac:dyDescent="0.2">
      <c r="A126" s="16">
        <v>125</v>
      </c>
      <c r="B126" s="34">
        <v>43223</v>
      </c>
      <c r="C126" s="16">
        <v>34</v>
      </c>
      <c r="D126" s="17" t="s">
        <v>355</v>
      </c>
      <c r="E126" s="17" t="s">
        <v>86</v>
      </c>
      <c r="F126" s="17" t="s">
        <v>356</v>
      </c>
      <c r="G126" s="18" t="s">
        <v>357</v>
      </c>
      <c r="H126" s="17" t="s">
        <v>13</v>
      </c>
      <c r="I126" s="29" t="s">
        <v>14</v>
      </c>
      <c r="J126" s="29" t="s">
        <v>14</v>
      </c>
    </row>
    <row r="127" spans="1:11" ht="16" x14ac:dyDescent="0.2">
      <c r="A127" s="16">
        <v>126</v>
      </c>
      <c r="B127" s="34">
        <v>43224</v>
      </c>
      <c r="C127" s="16">
        <v>39</v>
      </c>
      <c r="D127" s="17" t="s">
        <v>152</v>
      </c>
      <c r="E127" s="17" t="s">
        <v>358</v>
      </c>
      <c r="F127" s="17" t="s">
        <v>108</v>
      </c>
      <c r="G127" s="18" t="s">
        <v>359</v>
      </c>
      <c r="H127" s="17" t="s">
        <v>13</v>
      </c>
      <c r="I127" s="17" t="s">
        <v>360</v>
      </c>
      <c r="J127" s="17" t="s">
        <v>30</v>
      </c>
    </row>
    <row r="128" spans="1:11" ht="16" x14ac:dyDescent="0.2">
      <c r="A128" s="16">
        <v>127</v>
      </c>
      <c r="B128" s="34">
        <v>43224</v>
      </c>
      <c r="C128" s="16">
        <v>17</v>
      </c>
      <c r="D128" s="17" t="s">
        <v>201</v>
      </c>
      <c r="E128" s="17" t="s">
        <v>138</v>
      </c>
      <c r="F128" s="17" t="s">
        <v>17</v>
      </c>
      <c r="G128" s="18" t="s">
        <v>361</v>
      </c>
      <c r="H128" s="17" t="s">
        <v>13</v>
      </c>
      <c r="I128" s="17" t="s">
        <v>362</v>
      </c>
      <c r="J128" s="17" t="s">
        <v>363</v>
      </c>
    </row>
    <row r="129" spans="1:11" ht="16" x14ac:dyDescent="0.2">
      <c r="A129" s="16">
        <v>128</v>
      </c>
      <c r="B129" s="34">
        <v>43227</v>
      </c>
      <c r="C129" s="16">
        <v>47</v>
      </c>
      <c r="D129" s="17" t="s">
        <v>228</v>
      </c>
      <c r="E129" s="17" t="s">
        <v>358</v>
      </c>
      <c r="F129" s="17" t="s">
        <v>364</v>
      </c>
      <c r="G129" s="18" t="s">
        <v>365</v>
      </c>
      <c r="H129" s="17" t="s">
        <v>13</v>
      </c>
      <c r="I129" s="38" t="s">
        <v>30</v>
      </c>
      <c r="J129" s="38" t="s">
        <v>30</v>
      </c>
      <c r="K129" s="26"/>
    </row>
    <row r="130" spans="1:11" ht="16" x14ac:dyDescent="0.2">
      <c r="A130" s="16">
        <v>129</v>
      </c>
      <c r="B130" s="34">
        <v>43227</v>
      </c>
      <c r="C130" s="16">
        <v>41</v>
      </c>
      <c r="D130" s="17" t="s">
        <v>26</v>
      </c>
      <c r="E130" s="17" t="s">
        <v>36</v>
      </c>
      <c r="F130" s="17" t="s">
        <v>43</v>
      </c>
      <c r="G130" s="18" t="s">
        <v>366</v>
      </c>
      <c r="H130" s="17" t="s">
        <v>13</v>
      </c>
      <c r="I130" s="17" t="s">
        <v>367</v>
      </c>
      <c r="J130" s="17" t="s">
        <v>45</v>
      </c>
    </row>
    <row r="131" spans="1:11" ht="32" x14ac:dyDescent="0.2">
      <c r="A131" s="16">
        <v>130</v>
      </c>
      <c r="B131" s="34">
        <v>43228</v>
      </c>
      <c r="C131" s="16">
        <v>44</v>
      </c>
      <c r="D131" s="17" t="s">
        <v>75</v>
      </c>
      <c r="E131" s="17" t="s">
        <v>358</v>
      </c>
      <c r="F131" s="17" t="s">
        <v>17</v>
      </c>
      <c r="G131" s="18" t="s">
        <v>368</v>
      </c>
      <c r="H131" s="17" t="s">
        <v>13</v>
      </c>
      <c r="I131" s="17" t="s">
        <v>306</v>
      </c>
      <c r="J131" s="17" t="s">
        <v>14</v>
      </c>
    </row>
    <row r="132" spans="1:11" ht="16" x14ac:dyDescent="0.2">
      <c r="A132" s="16">
        <v>131</v>
      </c>
      <c r="B132" s="34">
        <v>43228</v>
      </c>
      <c r="C132" s="16">
        <v>44</v>
      </c>
      <c r="D132" s="17" t="s">
        <v>75</v>
      </c>
      <c r="E132" s="17" t="s">
        <v>358</v>
      </c>
      <c r="F132" s="17" t="s">
        <v>17</v>
      </c>
      <c r="G132" s="18" t="s">
        <v>369</v>
      </c>
      <c r="H132" s="17" t="s">
        <v>13</v>
      </c>
      <c r="I132" s="17" t="s">
        <v>119</v>
      </c>
      <c r="J132" s="17" t="s">
        <v>119</v>
      </c>
    </row>
    <row r="133" spans="1:11" ht="16" x14ac:dyDescent="0.2">
      <c r="A133" s="16">
        <v>132</v>
      </c>
      <c r="B133" s="34">
        <v>43228</v>
      </c>
      <c r="C133" s="16">
        <v>7</v>
      </c>
      <c r="D133" s="17" t="s">
        <v>55</v>
      </c>
      <c r="E133" s="17" t="s">
        <v>64</v>
      </c>
      <c r="F133" s="17" t="s">
        <v>370</v>
      </c>
      <c r="G133" s="18" t="s">
        <v>371</v>
      </c>
      <c r="H133" s="17" t="s">
        <v>58</v>
      </c>
      <c r="I133" s="17" t="s">
        <v>181</v>
      </c>
      <c r="J133" s="17" t="s">
        <v>181</v>
      </c>
    </row>
    <row r="134" spans="1:11" ht="16" x14ac:dyDescent="0.2">
      <c r="A134" s="16">
        <v>133</v>
      </c>
      <c r="B134" s="34">
        <v>43234</v>
      </c>
      <c r="C134" s="16">
        <v>13</v>
      </c>
      <c r="D134" s="17" t="s">
        <v>372</v>
      </c>
      <c r="E134" s="17" t="s">
        <v>129</v>
      </c>
      <c r="F134" s="17" t="s">
        <v>373</v>
      </c>
      <c r="G134" s="18" t="s">
        <v>374</v>
      </c>
      <c r="H134" s="17" t="s">
        <v>58</v>
      </c>
      <c r="I134" s="17" t="s">
        <v>48</v>
      </c>
      <c r="J134" s="17" t="s">
        <v>48</v>
      </c>
    </row>
    <row r="135" spans="1:11" ht="16" x14ac:dyDescent="0.2">
      <c r="A135" s="16">
        <v>134</v>
      </c>
      <c r="B135" s="34">
        <v>43242</v>
      </c>
      <c r="C135" s="16">
        <v>13</v>
      </c>
      <c r="D135" s="17" t="s">
        <v>372</v>
      </c>
      <c r="E135" s="17" t="s">
        <v>60</v>
      </c>
      <c r="F135" s="17" t="s">
        <v>375</v>
      </c>
      <c r="G135" s="18" t="s">
        <v>376</v>
      </c>
      <c r="H135" s="17" t="s">
        <v>13</v>
      </c>
      <c r="I135" s="17" t="s">
        <v>181</v>
      </c>
      <c r="J135" s="18" t="s">
        <v>181</v>
      </c>
      <c r="K135" s="66"/>
    </row>
    <row r="136" spans="1:11" ht="32" x14ac:dyDescent="0.2">
      <c r="A136" s="16">
        <v>135</v>
      </c>
      <c r="B136" s="34">
        <v>43242</v>
      </c>
      <c r="C136" s="16">
        <v>13</v>
      </c>
      <c r="D136" s="17" t="s">
        <v>238</v>
      </c>
      <c r="E136" s="17" t="s">
        <v>129</v>
      </c>
      <c r="F136" s="17" t="s">
        <v>373</v>
      </c>
      <c r="G136" s="18" t="s">
        <v>377</v>
      </c>
      <c r="H136" s="17" t="s">
        <v>58</v>
      </c>
      <c r="I136" s="17" t="s">
        <v>181</v>
      </c>
      <c r="J136" s="17" t="s">
        <v>181</v>
      </c>
      <c r="K136" s="26"/>
    </row>
    <row r="137" spans="1:11" ht="16" x14ac:dyDescent="0.2">
      <c r="A137" s="16">
        <v>136</v>
      </c>
      <c r="B137" s="34">
        <v>43242</v>
      </c>
      <c r="C137" s="16">
        <v>13</v>
      </c>
      <c r="D137" s="17" t="s">
        <v>238</v>
      </c>
      <c r="E137" s="17" t="s">
        <v>129</v>
      </c>
      <c r="F137" s="17" t="s">
        <v>373</v>
      </c>
      <c r="G137" s="18" t="s">
        <v>378</v>
      </c>
      <c r="H137" s="17" t="s">
        <v>58</v>
      </c>
      <c r="I137" s="17" t="s">
        <v>14</v>
      </c>
      <c r="J137" s="17" t="s">
        <v>14</v>
      </c>
    </row>
    <row r="138" spans="1:11" ht="16" x14ac:dyDescent="0.2">
      <c r="A138" s="16">
        <v>137</v>
      </c>
      <c r="B138" s="34">
        <v>43242</v>
      </c>
      <c r="C138" s="16">
        <v>35</v>
      </c>
      <c r="D138" s="17" t="s">
        <v>177</v>
      </c>
      <c r="E138" s="17" t="s">
        <v>379</v>
      </c>
      <c r="F138" s="17" t="s">
        <v>179</v>
      </c>
      <c r="G138" s="18" t="s">
        <v>380</v>
      </c>
      <c r="H138" s="17" t="s">
        <v>58</v>
      </c>
      <c r="I138" s="17" t="s">
        <v>14</v>
      </c>
      <c r="J138" s="17" t="s">
        <v>14</v>
      </c>
    </row>
    <row r="139" spans="1:11" ht="16" x14ac:dyDescent="0.2">
      <c r="A139" s="16">
        <v>138</v>
      </c>
      <c r="B139" s="34">
        <v>43242</v>
      </c>
      <c r="C139" s="16">
        <v>35</v>
      </c>
      <c r="D139" s="17" t="s">
        <v>177</v>
      </c>
      <c r="E139" s="17" t="s">
        <v>129</v>
      </c>
      <c r="F139" s="17" t="s">
        <v>381</v>
      </c>
      <c r="G139" s="18" t="s">
        <v>382</v>
      </c>
      <c r="H139" s="17" t="s">
        <v>58</v>
      </c>
      <c r="I139" s="17" t="s">
        <v>14</v>
      </c>
      <c r="J139" s="17" t="s">
        <v>119</v>
      </c>
    </row>
    <row r="140" spans="1:11" ht="16" x14ac:dyDescent="0.2">
      <c r="A140" s="16">
        <v>139</v>
      </c>
      <c r="B140" s="34">
        <v>43242</v>
      </c>
      <c r="C140" s="16">
        <v>32</v>
      </c>
      <c r="D140" s="17" t="s">
        <v>39</v>
      </c>
      <c r="E140" s="17" t="s">
        <v>121</v>
      </c>
      <c r="F140" s="17" t="s">
        <v>147</v>
      </c>
      <c r="G140" s="18" t="s">
        <v>383</v>
      </c>
      <c r="H140" s="17" t="s">
        <v>13</v>
      </c>
      <c r="I140" s="17" t="s">
        <v>14</v>
      </c>
      <c r="J140" s="17" t="s">
        <v>14</v>
      </c>
    </row>
    <row r="141" spans="1:11" ht="16" x14ac:dyDescent="0.2">
      <c r="A141" s="16">
        <v>140</v>
      </c>
      <c r="B141" s="34">
        <v>43242</v>
      </c>
      <c r="C141" s="16">
        <v>18</v>
      </c>
      <c r="D141" s="17" t="s">
        <v>343</v>
      </c>
      <c r="E141" s="17" t="s">
        <v>10</v>
      </c>
      <c r="F141" s="17" t="s">
        <v>384</v>
      </c>
      <c r="G141" s="18" t="s">
        <v>385</v>
      </c>
      <c r="H141" s="17" t="s">
        <v>13</v>
      </c>
      <c r="I141" s="17" t="s">
        <v>386</v>
      </c>
      <c r="J141" s="17" t="s">
        <v>181</v>
      </c>
    </row>
    <row r="142" spans="1:11" ht="16" x14ac:dyDescent="0.2">
      <c r="A142" s="16">
        <v>141</v>
      </c>
      <c r="B142" s="34">
        <v>43210</v>
      </c>
      <c r="C142" s="16">
        <v>9</v>
      </c>
      <c r="D142" s="17" t="s">
        <v>244</v>
      </c>
      <c r="E142" s="17" t="s">
        <v>138</v>
      </c>
      <c r="F142" s="17" t="s">
        <v>387</v>
      </c>
      <c r="G142" s="18" t="s">
        <v>388</v>
      </c>
      <c r="H142" s="17" t="s">
        <v>58</v>
      </c>
      <c r="I142" s="17" t="s">
        <v>386</v>
      </c>
      <c r="J142" s="21" t="s">
        <v>181</v>
      </c>
    </row>
    <row r="143" spans="1:11" ht="16" x14ac:dyDescent="0.2">
      <c r="A143" s="16">
        <v>142</v>
      </c>
      <c r="B143" s="34">
        <v>43248</v>
      </c>
      <c r="C143" s="16">
        <v>17</v>
      </c>
      <c r="D143" s="17" t="s">
        <v>201</v>
      </c>
      <c r="E143" s="17" t="s">
        <v>202</v>
      </c>
      <c r="F143" s="17" t="s">
        <v>203</v>
      </c>
      <c r="G143" s="18" t="s">
        <v>389</v>
      </c>
      <c r="H143" s="17" t="s">
        <v>13</v>
      </c>
      <c r="I143" s="17" t="s">
        <v>181</v>
      </c>
      <c r="J143" s="17" t="s">
        <v>181</v>
      </c>
    </row>
    <row r="144" spans="1:11" ht="16" x14ac:dyDescent="0.2">
      <c r="A144" s="16">
        <v>143</v>
      </c>
      <c r="B144" s="34">
        <v>43243</v>
      </c>
      <c r="C144" s="16">
        <v>1</v>
      </c>
      <c r="D144" s="17" t="s">
        <v>390</v>
      </c>
      <c r="E144" s="17" t="s">
        <v>86</v>
      </c>
      <c r="F144" s="17" t="s">
        <v>391</v>
      </c>
      <c r="G144" s="18" t="s">
        <v>392</v>
      </c>
      <c r="H144" s="17" t="s">
        <v>393</v>
      </c>
      <c r="I144" s="21" t="s">
        <v>312</v>
      </c>
      <c r="J144" s="21" t="s">
        <v>312</v>
      </c>
    </row>
    <row r="145" spans="1:11" ht="16" x14ac:dyDescent="0.2">
      <c r="A145" s="16">
        <v>144</v>
      </c>
      <c r="B145" s="34">
        <v>43249</v>
      </c>
      <c r="C145" s="16">
        <v>1</v>
      </c>
      <c r="D145" s="17" t="s">
        <v>390</v>
      </c>
      <c r="E145" s="17" t="s">
        <v>129</v>
      </c>
      <c r="F145" s="17" t="s">
        <v>394</v>
      </c>
      <c r="G145" s="18" t="s">
        <v>395</v>
      </c>
      <c r="H145" s="17" t="s">
        <v>13</v>
      </c>
      <c r="I145" s="17" t="s">
        <v>119</v>
      </c>
      <c r="J145" s="17" t="s">
        <v>119</v>
      </c>
    </row>
    <row r="146" spans="1:11" ht="48" x14ac:dyDescent="0.2">
      <c r="A146" s="16">
        <v>145</v>
      </c>
      <c r="B146" s="34">
        <v>43250</v>
      </c>
      <c r="C146" s="16">
        <v>10</v>
      </c>
      <c r="D146" s="17" t="s">
        <v>9</v>
      </c>
      <c r="E146" s="17" t="s">
        <v>60</v>
      </c>
      <c r="F146" s="17" t="s">
        <v>396</v>
      </c>
      <c r="G146" s="18" t="s">
        <v>397</v>
      </c>
      <c r="H146" s="17" t="s">
        <v>58</v>
      </c>
      <c r="I146" s="17" t="s">
        <v>14</v>
      </c>
      <c r="J146" s="17" t="s">
        <v>14</v>
      </c>
    </row>
    <row r="147" spans="1:11" ht="16" x14ac:dyDescent="0.2">
      <c r="A147" s="16">
        <v>146</v>
      </c>
      <c r="B147" s="34">
        <v>43252</v>
      </c>
      <c r="C147" s="16">
        <v>15</v>
      </c>
      <c r="D147" s="17" t="s">
        <v>398</v>
      </c>
      <c r="E147" s="17" t="s">
        <v>399</v>
      </c>
      <c r="F147" s="17"/>
      <c r="G147" s="18" t="s">
        <v>400</v>
      </c>
      <c r="H147" s="17" t="s">
        <v>13</v>
      </c>
      <c r="I147" s="17" t="s">
        <v>119</v>
      </c>
      <c r="J147" s="17" t="s">
        <v>119</v>
      </c>
    </row>
    <row r="148" spans="1:11" ht="16" x14ac:dyDescent="0.2">
      <c r="A148" s="16">
        <v>147</v>
      </c>
      <c r="B148" s="34">
        <v>43255</v>
      </c>
      <c r="C148" s="16">
        <v>47</v>
      </c>
      <c r="D148" s="17" t="s">
        <v>228</v>
      </c>
      <c r="E148" s="17" t="s">
        <v>401</v>
      </c>
      <c r="F148" s="17" t="s">
        <v>402</v>
      </c>
      <c r="G148" s="18" t="s">
        <v>403</v>
      </c>
      <c r="H148" s="17" t="s">
        <v>13</v>
      </c>
      <c r="I148" s="38" t="s">
        <v>145</v>
      </c>
      <c r="J148" s="21" t="s">
        <v>145</v>
      </c>
    </row>
    <row r="149" spans="1:11" ht="16" x14ac:dyDescent="0.2">
      <c r="A149" s="16">
        <v>148</v>
      </c>
      <c r="B149" s="34">
        <v>43256</v>
      </c>
      <c r="C149" s="16">
        <v>35</v>
      </c>
      <c r="D149" s="17" t="s">
        <v>404</v>
      </c>
      <c r="E149" s="17" t="s">
        <v>401</v>
      </c>
      <c r="F149" s="17" t="s">
        <v>405</v>
      </c>
      <c r="G149" s="18" t="s">
        <v>406</v>
      </c>
      <c r="H149" s="17" t="s">
        <v>13</v>
      </c>
      <c r="I149" s="57" t="s">
        <v>181</v>
      </c>
      <c r="J149" s="72" t="s">
        <v>38</v>
      </c>
    </row>
    <row r="150" spans="1:11" ht="16" x14ac:dyDescent="0.2">
      <c r="A150" s="16">
        <v>149</v>
      </c>
      <c r="B150" s="34">
        <v>43257</v>
      </c>
      <c r="C150" s="16">
        <v>32</v>
      </c>
      <c r="D150" s="17" t="s">
        <v>39</v>
      </c>
      <c r="E150" s="17" t="s">
        <v>40</v>
      </c>
      <c r="F150" s="17" t="s">
        <v>41</v>
      </c>
      <c r="G150" s="18" t="s">
        <v>407</v>
      </c>
      <c r="H150" s="17" t="s">
        <v>13</v>
      </c>
      <c r="I150" s="38" t="s">
        <v>84</v>
      </c>
      <c r="J150" s="38" t="s">
        <v>84</v>
      </c>
    </row>
    <row r="151" spans="1:11" ht="16" x14ac:dyDescent="0.2">
      <c r="A151" s="16">
        <v>150</v>
      </c>
      <c r="B151" s="34">
        <v>43257</v>
      </c>
      <c r="C151" s="16">
        <v>35</v>
      </c>
      <c r="D151" s="17" t="s">
        <v>177</v>
      </c>
      <c r="E151" s="17" t="s">
        <v>408</v>
      </c>
      <c r="F151" s="17" t="s">
        <v>409</v>
      </c>
      <c r="G151" s="18" t="s">
        <v>410</v>
      </c>
      <c r="H151" s="17" t="s">
        <v>13</v>
      </c>
      <c r="I151" s="29" t="s">
        <v>411</v>
      </c>
      <c r="J151" s="29" t="s">
        <v>411</v>
      </c>
    </row>
    <row r="152" spans="1:11" x14ac:dyDescent="0.2">
      <c r="A152" s="16">
        <v>151</v>
      </c>
      <c r="B152" s="34">
        <v>43257</v>
      </c>
      <c r="C152" s="16">
        <v>44</v>
      </c>
      <c r="D152" s="17" t="s">
        <v>75</v>
      </c>
      <c r="E152" s="17" t="s">
        <v>358</v>
      </c>
      <c r="F152" s="17" t="s">
        <v>17</v>
      </c>
      <c r="G152" s="17" t="s">
        <v>412</v>
      </c>
      <c r="H152" s="17" t="s">
        <v>13</v>
      </c>
      <c r="I152" s="17" t="s">
        <v>19</v>
      </c>
      <c r="J152" s="17" t="s">
        <v>19</v>
      </c>
    </row>
    <row r="153" spans="1:11" ht="16" x14ac:dyDescent="0.2">
      <c r="A153" s="16">
        <v>152</v>
      </c>
      <c r="B153" s="34">
        <v>43258</v>
      </c>
      <c r="C153" s="16">
        <v>8</v>
      </c>
      <c r="D153" s="17" t="s">
        <v>161</v>
      </c>
      <c r="E153" s="17" t="s">
        <v>263</v>
      </c>
      <c r="F153" s="17" t="s">
        <v>413</v>
      </c>
      <c r="G153" s="18" t="s">
        <v>414</v>
      </c>
      <c r="H153" s="17" t="s">
        <v>13</v>
      </c>
      <c r="I153" s="17" t="s">
        <v>200</v>
      </c>
      <c r="J153" s="17" t="s">
        <v>200</v>
      </c>
    </row>
    <row r="154" spans="1:11" ht="16" x14ac:dyDescent="0.2">
      <c r="A154" s="16">
        <v>153</v>
      </c>
      <c r="B154" s="34">
        <v>43258</v>
      </c>
      <c r="C154" s="16">
        <v>39</v>
      </c>
      <c r="D154" s="17" t="s">
        <v>152</v>
      </c>
      <c r="E154" s="17" t="s">
        <v>10</v>
      </c>
      <c r="F154" s="17" t="s">
        <v>153</v>
      </c>
      <c r="G154" s="18" t="s">
        <v>415</v>
      </c>
      <c r="H154" s="17" t="s">
        <v>13</v>
      </c>
      <c r="I154" s="17" t="s">
        <v>45</v>
      </c>
      <c r="J154" s="17" t="s">
        <v>45</v>
      </c>
      <c r="K154" s="43" t="s">
        <v>416</v>
      </c>
    </row>
    <row r="155" spans="1:11" ht="16" x14ac:dyDescent="0.2">
      <c r="A155" s="16">
        <v>154</v>
      </c>
      <c r="B155" s="34">
        <v>43258</v>
      </c>
      <c r="C155" s="16">
        <v>43</v>
      </c>
      <c r="D155" s="17" t="s">
        <v>417</v>
      </c>
      <c r="E155" s="17" t="s">
        <v>60</v>
      </c>
      <c r="F155" s="17" t="s">
        <v>254</v>
      </c>
      <c r="G155" s="18" t="s">
        <v>418</v>
      </c>
      <c r="H155" s="17" t="s">
        <v>13</v>
      </c>
      <c r="I155" s="17" t="s">
        <v>145</v>
      </c>
      <c r="J155" s="17" t="s">
        <v>145</v>
      </c>
    </row>
    <row r="156" spans="1:11" ht="16" x14ac:dyDescent="0.2">
      <c r="A156" s="16">
        <v>155</v>
      </c>
      <c r="B156" s="34">
        <v>43259</v>
      </c>
      <c r="C156" s="16">
        <v>23</v>
      </c>
      <c r="D156" s="17" t="s">
        <v>419</v>
      </c>
      <c r="E156" s="17" t="s">
        <v>94</v>
      </c>
      <c r="F156" s="17" t="s">
        <v>420</v>
      </c>
      <c r="G156" s="18" t="s">
        <v>421</v>
      </c>
      <c r="H156" s="17" t="s">
        <v>13</v>
      </c>
      <c r="I156" s="17" t="s">
        <v>84</v>
      </c>
      <c r="J156" s="17" t="s">
        <v>84</v>
      </c>
    </row>
    <row r="157" spans="1:11" ht="16" x14ac:dyDescent="0.2">
      <c r="A157" s="16">
        <v>156</v>
      </c>
      <c r="B157" s="34">
        <v>43259</v>
      </c>
      <c r="C157" s="16">
        <v>35</v>
      </c>
      <c r="D157" s="17" t="s">
        <v>177</v>
      </c>
      <c r="E157" s="17" t="s">
        <v>197</v>
      </c>
      <c r="F157" s="17" t="s">
        <v>422</v>
      </c>
      <c r="G157" s="18" t="s">
        <v>392</v>
      </c>
      <c r="H157" s="17" t="s">
        <v>13</v>
      </c>
      <c r="I157" s="21" t="s">
        <v>423</v>
      </c>
      <c r="J157" s="21" t="s">
        <v>423</v>
      </c>
    </row>
    <row r="158" spans="1:11" ht="16" x14ac:dyDescent="0.2">
      <c r="A158" s="16">
        <v>157</v>
      </c>
      <c r="B158" s="34">
        <v>43263</v>
      </c>
      <c r="C158" s="16">
        <v>2</v>
      </c>
      <c r="D158" s="17" t="s">
        <v>148</v>
      </c>
      <c r="E158" s="17" t="s">
        <v>138</v>
      </c>
      <c r="F158" s="17" t="s">
        <v>250</v>
      </c>
      <c r="G158" s="18" t="s">
        <v>424</v>
      </c>
      <c r="H158" s="17" t="s">
        <v>13</v>
      </c>
      <c r="I158" s="17" t="s">
        <v>45</v>
      </c>
      <c r="J158" s="17" t="s">
        <v>45</v>
      </c>
    </row>
    <row r="159" spans="1:11" ht="16" x14ac:dyDescent="0.2">
      <c r="A159" s="16">
        <v>158</v>
      </c>
      <c r="B159" s="34">
        <v>43265</v>
      </c>
      <c r="C159" s="16">
        <v>41</v>
      </c>
      <c r="D159" s="17" t="s">
        <v>26</v>
      </c>
      <c r="E159" s="17" t="s">
        <v>264</v>
      </c>
      <c r="F159" s="17"/>
      <c r="G159" s="18" t="s">
        <v>425</v>
      </c>
      <c r="H159" s="17" t="s">
        <v>13</v>
      </c>
      <c r="I159" s="17" t="s">
        <v>145</v>
      </c>
      <c r="J159" s="17" t="s">
        <v>145</v>
      </c>
    </row>
    <row r="160" spans="1:11" ht="16" x14ac:dyDescent="0.2">
      <c r="A160" s="16">
        <v>159</v>
      </c>
      <c r="B160" s="34">
        <v>43269</v>
      </c>
      <c r="C160" s="16">
        <v>1</v>
      </c>
      <c r="D160" s="17" t="s">
        <v>390</v>
      </c>
      <c r="E160" s="17" t="s">
        <v>129</v>
      </c>
      <c r="F160" s="17" t="s">
        <v>394</v>
      </c>
      <c r="G160" s="18" t="s">
        <v>426</v>
      </c>
      <c r="H160" s="17" t="s">
        <v>58</v>
      </c>
      <c r="I160" s="29" t="s">
        <v>427</v>
      </c>
      <c r="J160" s="29" t="s">
        <v>14</v>
      </c>
    </row>
    <row r="161" spans="1:11" ht="16" x14ac:dyDescent="0.2">
      <c r="A161" s="16">
        <v>160</v>
      </c>
      <c r="B161" s="34">
        <v>43270</v>
      </c>
      <c r="C161" s="16">
        <v>18</v>
      </c>
      <c r="D161" s="17" t="s">
        <v>343</v>
      </c>
      <c r="E161" s="17" t="s">
        <v>428</v>
      </c>
      <c r="F161" s="17" t="s">
        <v>209</v>
      </c>
      <c r="G161" s="18" t="s">
        <v>429</v>
      </c>
      <c r="H161" s="17" t="s">
        <v>13</v>
      </c>
      <c r="I161" s="17" t="s">
        <v>200</v>
      </c>
      <c r="J161" s="17" t="s">
        <v>200</v>
      </c>
    </row>
    <row r="162" spans="1:11" ht="16" x14ac:dyDescent="0.2">
      <c r="A162" s="16">
        <v>161</v>
      </c>
      <c r="B162" s="34">
        <v>43271</v>
      </c>
      <c r="C162" s="16">
        <v>41</v>
      </c>
      <c r="D162" s="17" t="s">
        <v>26</v>
      </c>
      <c r="E162" s="17" t="s">
        <v>129</v>
      </c>
      <c r="F162" s="17" t="s">
        <v>430</v>
      </c>
      <c r="G162" s="18" t="s">
        <v>431</v>
      </c>
      <c r="H162" s="17" t="s">
        <v>13</v>
      </c>
      <c r="I162" s="17" t="s">
        <v>119</v>
      </c>
      <c r="J162" s="17" t="s">
        <v>119</v>
      </c>
    </row>
    <row r="163" spans="1:11" ht="16" x14ac:dyDescent="0.2">
      <c r="A163" s="16">
        <v>162</v>
      </c>
      <c r="B163" s="34">
        <v>43264</v>
      </c>
      <c r="C163" s="16">
        <v>38</v>
      </c>
      <c r="D163" s="17" t="s">
        <v>171</v>
      </c>
      <c r="E163" s="17" t="s">
        <v>129</v>
      </c>
      <c r="F163" s="17" t="s">
        <v>259</v>
      </c>
      <c r="G163" s="18" t="s">
        <v>432</v>
      </c>
      <c r="H163" s="17" t="s">
        <v>13</v>
      </c>
      <c r="I163" s="17" t="s">
        <v>45</v>
      </c>
      <c r="J163" s="17" t="s">
        <v>45</v>
      </c>
    </row>
    <row r="164" spans="1:11" ht="16" x14ac:dyDescent="0.2">
      <c r="A164" s="16">
        <v>163</v>
      </c>
      <c r="B164" s="34">
        <v>43272</v>
      </c>
      <c r="C164" s="16">
        <v>43</v>
      </c>
      <c r="D164" s="17" t="s">
        <v>285</v>
      </c>
      <c r="E164" s="17" t="s">
        <v>129</v>
      </c>
      <c r="F164" s="17" t="s">
        <v>17</v>
      </c>
      <c r="G164" s="18" t="s">
        <v>61</v>
      </c>
      <c r="H164" s="17" t="s">
        <v>23</v>
      </c>
      <c r="I164" s="29" t="s">
        <v>14</v>
      </c>
      <c r="J164" s="29" t="s">
        <v>14</v>
      </c>
      <c r="K164" s="26"/>
    </row>
    <row r="165" spans="1:11" ht="16" x14ac:dyDescent="0.2">
      <c r="A165" s="16">
        <v>164</v>
      </c>
      <c r="B165" s="34">
        <v>43259</v>
      </c>
      <c r="C165" s="16">
        <v>25</v>
      </c>
      <c r="D165" s="17" t="s">
        <v>128</v>
      </c>
      <c r="E165" s="17" t="s">
        <v>129</v>
      </c>
      <c r="F165" s="17" t="s">
        <v>433</v>
      </c>
      <c r="G165" s="18" t="s">
        <v>392</v>
      </c>
      <c r="H165" s="17" t="s">
        <v>119</v>
      </c>
      <c r="I165" s="21" t="s">
        <v>423</v>
      </c>
      <c r="J165" s="21" t="s">
        <v>423</v>
      </c>
    </row>
    <row r="166" spans="1:11" ht="16" x14ac:dyDescent="0.2">
      <c r="A166" s="16">
        <v>165</v>
      </c>
      <c r="B166" s="34">
        <v>43283</v>
      </c>
      <c r="C166" s="16">
        <v>19</v>
      </c>
      <c r="D166" s="17" t="s">
        <v>35</v>
      </c>
      <c r="E166" s="17" t="s">
        <v>434</v>
      </c>
      <c r="F166" s="17"/>
      <c r="G166" s="18" t="s">
        <v>435</v>
      </c>
      <c r="H166" s="17" t="s">
        <v>23</v>
      </c>
      <c r="I166" s="17" t="s">
        <v>436</v>
      </c>
      <c r="J166" s="17" t="s">
        <v>436</v>
      </c>
    </row>
    <row r="167" spans="1:11" ht="16" x14ac:dyDescent="0.2">
      <c r="A167" s="16">
        <v>166</v>
      </c>
      <c r="B167" s="34">
        <v>43284</v>
      </c>
      <c r="C167" s="16">
        <v>18</v>
      </c>
      <c r="D167" s="17" t="s">
        <v>437</v>
      </c>
      <c r="E167" s="17" t="s">
        <v>17</v>
      </c>
      <c r="F167" s="17" t="s">
        <v>269</v>
      </c>
      <c r="G167" s="18" t="s">
        <v>438</v>
      </c>
      <c r="H167" s="17" t="s">
        <v>23</v>
      </c>
      <c r="I167" s="17" t="s">
        <v>48</v>
      </c>
      <c r="J167" s="17" t="s">
        <v>48</v>
      </c>
      <c r="K167" s="26"/>
    </row>
    <row r="168" spans="1:11" ht="16" x14ac:dyDescent="0.2">
      <c r="A168" s="16">
        <v>167</v>
      </c>
      <c r="B168" s="34">
        <v>43293</v>
      </c>
      <c r="C168" s="16">
        <v>18</v>
      </c>
      <c r="D168" s="17" t="s">
        <v>439</v>
      </c>
      <c r="E168" s="17" t="s">
        <v>32</v>
      </c>
      <c r="F168" s="17" t="s">
        <v>440</v>
      </c>
      <c r="G168" s="18" t="s">
        <v>441</v>
      </c>
      <c r="H168" s="17" t="s">
        <v>13</v>
      </c>
      <c r="I168" s="17" t="s">
        <v>181</v>
      </c>
      <c r="J168" s="17" t="s">
        <v>181</v>
      </c>
    </row>
    <row r="169" spans="1:11" ht="16" x14ac:dyDescent="0.2">
      <c r="A169" s="16">
        <v>168</v>
      </c>
      <c r="B169" s="34">
        <v>43293</v>
      </c>
      <c r="C169" s="16">
        <v>17</v>
      </c>
      <c r="D169" s="17" t="s">
        <v>201</v>
      </c>
      <c r="E169" s="17" t="s">
        <v>202</v>
      </c>
      <c r="F169" s="17" t="s">
        <v>203</v>
      </c>
      <c r="G169" s="18" t="s">
        <v>442</v>
      </c>
      <c r="H169" s="17" t="s">
        <v>13</v>
      </c>
      <c r="I169" s="23" t="s">
        <v>181</v>
      </c>
      <c r="J169" s="17" t="s">
        <v>443</v>
      </c>
    </row>
    <row r="170" spans="1:11" ht="16" x14ac:dyDescent="0.2">
      <c r="A170" s="16">
        <v>169</v>
      </c>
      <c r="B170" s="34">
        <v>43293</v>
      </c>
      <c r="C170" s="9">
        <v>4</v>
      </c>
      <c r="D170" s="43" t="s">
        <v>168</v>
      </c>
      <c r="E170" s="43" t="s">
        <v>129</v>
      </c>
      <c r="F170" s="43" t="s">
        <v>444</v>
      </c>
      <c r="G170" s="15" t="s">
        <v>445</v>
      </c>
      <c r="H170" s="43" t="s">
        <v>13</v>
      </c>
      <c r="I170" s="43" t="s">
        <v>181</v>
      </c>
      <c r="J170" s="21">
        <v>169</v>
      </c>
    </row>
    <row r="171" spans="1:11" ht="16" x14ac:dyDescent="0.2">
      <c r="A171" s="16">
        <v>170</v>
      </c>
      <c r="B171" s="34">
        <v>43293</v>
      </c>
      <c r="C171" s="16">
        <v>17</v>
      </c>
      <c r="D171" s="17" t="s">
        <v>201</v>
      </c>
      <c r="E171" s="17" t="s">
        <v>352</v>
      </c>
      <c r="F171" s="17"/>
      <c r="G171" s="18" t="s">
        <v>446</v>
      </c>
      <c r="H171" s="17" t="s">
        <v>13</v>
      </c>
      <c r="I171" s="17" t="s">
        <v>76</v>
      </c>
      <c r="J171" s="17" t="s">
        <v>76</v>
      </c>
    </row>
    <row r="172" spans="1:11" ht="16" x14ac:dyDescent="0.2">
      <c r="A172" s="16">
        <v>171</v>
      </c>
      <c r="B172" s="34">
        <v>43294</v>
      </c>
      <c r="C172" s="16">
        <v>34</v>
      </c>
      <c r="D172" s="17" t="s">
        <v>355</v>
      </c>
      <c r="E172" s="17" t="s">
        <v>40</v>
      </c>
      <c r="F172" s="17" t="s">
        <v>447</v>
      </c>
      <c r="G172" s="18" t="s">
        <v>448</v>
      </c>
      <c r="H172" s="17" t="s">
        <v>13</v>
      </c>
      <c r="I172" s="17" t="s">
        <v>19</v>
      </c>
      <c r="J172" s="17" t="s">
        <v>19</v>
      </c>
      <c r="K172" s="26"/>
    </row>
    <row r="173" spans="1:11" ht="16" x14ac:dyDescent="0.2">
      <c r="A173" s="16">
        <v>172</v>
      </c>
      <c r="B173" s="34">
        <v>43297</v>
      </c>
      <c r="C173" s="16">
        <v>18</v>
      </c>
      <c r="D173" s="17" t="s">
        <v>343</v>
      </c>
      <c r="E173" s="17" t="s">
        <v>138</v>
      </c>
      <c r="F173" s="17" t="s">
        <v>449</v>
      </c>
      <c r="G173" s="18" t="s">
        <v>450</v>
      </c>
      <c r="H173" s="17" t="s">
        <v>13</v>
      </c>
      <c r="I173" s="17" t="s">
        <v>306</v>
      </c>
      <c r="J173" s="17" t="s">
        <v>119</v>
      </c>
    </row>
    <row r="174" spans="1:11" ht="16" x14ac:dyDescent="0.2">
      <c r="A174" s="16">
        <v>173</v>
      </c>
      <c r="B174" s="34">
        <v>43297</v>
      </c>
      <c r="C174" s="16">
        <v>22</v>
      </c>
      <c r="D174" s="17" t="s">
        <v>173</v>
      </c>
      <c r="E174" s="17" t="s">
        <v>129</v>
      </c>
      <c r="F174" s="17" t="s">
        <v>451</v>
      </c>
      <c r="G174" s="18" t="s">
        <v>452</v>
      </c>
      <c r="H174" s="17" t="s">
        <v>13</v>
      </c>
      <c r="I174" s="17" t="s">
        <v>14</v>
      </c>
      <c r="J174" s="23" t="s">
        <v>14</v>
      </c>
    </row>
    <row r="175" spans="1:11" ht="16" x14ac:dyDescent="0.2">
      <c r="A175" s="16">
        <v>174</v>
      </c>
      <c r="B175" s="34">
        <v>43290</v>
      </c>
      <c r="C175" s="16">
        <v>19</v>
      </c>
      <c r="D175" s="17" t="s">
        <v>35</v>
      </c>
      <c r="E175" s="17">
        <v>6</v>
      </c>
      <c r="F175" s="17" t="s">
        <v>289</v>
      </c>
      <c r="G175" s="18" t="s">
        <v>311</v>
      </c>
      <c r="H175" s="17" t="s">
        <v>14</v>
      </c>
      <c r="I175" s="21" t="s">
        <v>312</v>
      </c>
      <c r="J175" s="21" t="s">
        <v>312</v>
      </c>
    </row>
    <row r="176" spans="1:11" ht="16" x14ac:dyDescent="0.2">
      <c r="A176" s="16">
        <v>175</v>
      </c>
      <c r="B176" s="34">
        <v>43298</v>
      </c>
      <c r="C176" s="16">
        <v>41</v>
      </c>
      <c r="D176" s="17" t="s">
        <v>26</v>
      </c>
      <c r="E176" s="17" t="s">
        <v>129</v>
      </c>
      <c r="F176" s="17" t="s">
        <v>430</v>
      </c>
      <c r="G176" s="18" t="s">
        <v>453</v>
      </c>
      <c r="H176" s="17" t="s">
        <v>13</v>
      </c>
      <c r="I176" s="17" t="s">
        <v>45</v>
      </c>
      <c r="J176" s="17" t="s">
        <v>45</v>
      </c>
    </row>
    <row r="177" spans="1:10" ht="16" x14ac:dyDescent="0.2">
      <c r="A177" s="16">
        <v>176</v>
      </c>
      <c r="B177" s="34">
        <v>43300</v>
      </c>
      <c r="C177" s="16">
        <v>8</v>
      </c>
      <c r="D177" s="17" t="s">
        <v>161</v>
      </c>
      <c r="E177" s="17" t="s">
        <v>60</v>
      </c>
      <c r="F177" s="17" t="s">
        <v>454</v>
      </c>
      <c r="G177" s="18" t="s">
        <v>294</v>
      </c>
      <c r="H177" s="17" t="s">
        <v>13</v>
      </c>
      <c r="I177" s="17" t="s">
        <v>181</v>
      </c>
      <c r="J177" s="17" t="s">
        <v>181</v>
      </c>
    </row>
    <row r="178" spans="1:10" ht="16" x14ac:dyDescent="0.2">
      <c r="A178" s="16">
        <v>177</v>
      </c>
      <c r="B178" s="34" t="s">
        <v>455</v>
      </c>
      <c r="C178" s="16">
        <v>32</v>
      </c>
      <c r="D178" s="17" t="s">
        <v>39</v>
      </c>
      <c r="E178" s="17" t="s">
        <v>40</v>
      </c>
      <c r="F178" s="17" t="s">
        <v>41</v>
      </c>
      <c r="G178" s="18" t="s">
        <v>456</v>
      </c>
      <c r="H178" s="17" t="s">
        <v>13</v>
      </c>
      <c r="I178" s="17" t="s">
        <v>14</v>
      </c>
      <c r="J178" s="17" t="s">
        <v>14</v>
      </c>
    </row>
    <row r="179" spans="1:10" ht="16" x14ac:dyDescent="0.2">
      <c r="A179" s="16">
        <v>178</v>
      </c>
      <c r="B179" s="34">
        <v>43305</v>
      </c>
      <c r="C179" s="16">
        <v>22</v>
      </c>
      <c r="D179" s="17" t="s">
        <v>173</v>
      </c>
      <c r="E179" s="17" t="s">
        <v>457</v>
      </c>
      <c r="F179" s="17" t="s">
        <v>458</v>
      </c>
      <c r="G179" s="18" t="s">
        <v>459</v>
      </c>
      <c r="H179" s="17" t="s">
        <v>13</v>
      </c>
      <c r="I179" s="17" t="s">
        <v>19</v>
      </c>
      <c r="J179" s="17" t="s">
        <v>19</v>
      </c>
    </row>
    <row r="180" spans="1:10" ht="16" x14ac:dyDescent="0.2">
      <c r="A180" s="16">
        <v>179</v>
      </c>
      <c r="B180" s="34">
        <v>43311</v>
      </c>
      <c r="C180" s="16">
        <v>18</v>
      </c>
      <c r="D180" s="17" t="s">
        <v>437</v>
      </c>
      <c r="E180" s="17" t="s">
        <v>269</v>
      </c>
      <c r="F180" s="17" t="s">
        <v>460</v>
      </c>
      <c r="G180" s="18" t="s">
        <v>61</v>
      </c>
      <c r="H180" s="17" t="s">
        <v>23</v>
      </c>
      <c r="I180" s="17" t="s">
        <v>14</v>
      </c>
      <c r="J180" s="17" t="s">
        <v>14</v>
      </c>
    </row>
    <row r="181" spans="1:10" ht="16" x14ac:dyDescent="0.2">
      <c r="A181" s="16">
        <v>180</v>
      </c>
      <c r="B181" s="34">
        <v>43311</v>
      </c>
      <c r="C181" s="16">
        <v>33</v>
      </c>
      <c r="D181" s="17" t="s">
        <v>81</v>
      </c>
      <c r="E181" s="17" t="s">
        <v>263</v>
      </c>
      <c r="F181" s="17" t="s">
        <v>337</v>
      </c>
      <c r="G181" s="18" t="s">
        <v>461</v>
      </c>
      <c r="H181" s="17" t="s">
        <v>13</v>
      </c>
      <c r="I181" s="17" t="s">
        <v>14</v>
      </c>
      <c r="J181" s="17" t="s">
        <v>14</v>
      </c>
    </row>
    <row r="182" spans="1:10" ht="16" x14ac:dyDescent="0.2">
      <c r="A182" s="16">
        <v>181</v>
      </c>
      <c r="B182" s="34">
        <v>43312</v>
      </c>
      <c r="C182" s="16">
        <v>41</v>
      </c>
      <c r="D182" s="17" t="s">
        <v>26</v>
      </c>
      <c r="E182" s="17" t="s">
        <v>235</v>
      </c>
      <c r="F182" s="17" t="s">
        <v>462</v>
      </c>
      <c r="G182" s="18" t="s">
        <v>29</v>
      </c>
      <c r="H182" s="17" t="s">
        <v>463</v>
      </c>
      <c r="I182" s="23" t="s">
        <v>30</v>
      </c>
      <c r="J182" s="17" t="s">
        <v>30</v>
      </c>
    </row>
    <row r="183" spans="1:10" ht="16" x14ac:dyDescent="0.2">
      <c r="A183" s="16">
        <v>182</v>
      </c>
      <c r="B183" s="34">
        <v>43312</v>
      </c>
      <c r="C183" s="16">
        <v>34</v>
      </c>
      <c r="D183" s="17" t="s">
        <v>355</v>
      </c>
      <c r="E183" s="17" t="s">
        <v>138</v>
      </c>
      <c r="F183" s="17" t="s">
        <v>464</v>
      </c>
      <c r="G183" s="18" t="s">
        <v>465</v>
      </c>
      <c r="H183" s="17" t="s">
        <v>13</v>
      </c>
      <c r="I183" s="17" t="s">
        <v>119</v>
      </c>
      <c r="J183" s="17" t="s">
        <v>119</v>
      </c>
    </row>
    <row r="184" spans="1:10" ht="16" x14ac:dyDescent="0.2">
      <c r="A184" s="16">
        <v>183</v>
      </c>
      <c r="B184" s="34">
        <v>43312</v>
      </c>
      <c r="C184" s="16">
        <v>7</v>
      </c>
      <c r="D184" s="17" t="s">
        <v>55</v>
      </c>
      <c r="E184" s="17" t="s">
        <v>466</v>
      </c>
      <c r="F184" s="17" t="s">
        <v>467</v>
      </c>
      <c r="G184" s="18" t="s">
        <v>468</v>
      </c>
      <c r="H184" s="17" t="s">
        <v>13</v>
      </c>
      <c r="I184" s="17" t="s">
        <v>181</v>
      </c>
      <c r="J184" s="17" t="s">
        <v>469</v>
      </c>
    </row>
    <row r="185" spans="1:10" ht="16" x14ac:dyDescent="0.2">
      <c r="A185" s="16">
        <v>184</v>
      </c>
      <c r="B185" s="34">
        <v>43313</v>
      </c>
      <c r="C185" s="16">
        <v>29</v>
      </c>
      <c r="D185" s="17" t="s">
        <v>98</v>
      </c>
      <c r="E185" s="17" t="s">
        <v>202</v>
      </c>
      <c r="F185" s="17" t="s">
        <v>470</v>
      </c>
      <c r="G185" s="18" t="s">
        <v>471</v>
      </c>
      <c r="H185" s="17" t="s">
        <v>13</v>
      </c>
      <c r="I185" s="17" t="s">
        <v>30</v>
      </c>
      <c r="J185" s="17" t="s">
        <v>30</v>
      </c>
    </row>
    <row r="186" spans="1:10" ht="16" x14ac:dyDescent="0.2">
      <c r="A186" s="16">
        <v>185</v>
      </c>
      <c r="B186" s="34">
        <v>43319</v>
      </c>
      <c r="C186" s="16">
        <v>41</v>
      </c>
      <c r="D186" s="17" t="s">
        <v>26</v>
      </c>
      <c r="E186" s="17" t="s">
        <v>138</v>
      </c>
      <c r="F186" s="17" t="s">
        <v>462</v>
      </c>
      <c r="G186" s="18" t="s">
        <v>472</v>
      </c>
      <c r="H186" s="17" t="s">
        <v>13</v>
      </c>
      <c r="I186" s="17" t="s">
        <v>14</v>
      </c>
      <c r="J186" s="17" t="s">
        <v>14</v>
      </c>
    </row>
    <row r="187" spans="1:10" ht="16" x14ac:dyDescent="0.2">
      <c r="A187" s="16">
        <v>186</v>
      </c>
      <c r="B187" s="34">
        <v>43319</v>
      </c>
      <c r="C187" s="16">
        <v>10</v>
      </c>
      <c r="D187" s="17" t="s">
        <v>9</v>
      </c>
      <c r="E187" s="17" t="s">
        <v>149</v>
      </c>
      <c r="F187" s="17" t="s">
        <v>473</v>
      </c>
      <c r="G187" s="18" t="s">
        <v>474</v>
      </c>
      <c r="H187" s="17" t="s">
        <v>13</v>
      </c>
      <c r="I187" s="17" t="s">
        <v>14</v>
      </c>
      <c r="J187" s="17" t="s">
        <v>14</v>
      </c>
    </row>
    <row r="188" spans="1:10" ht="16" x14ac:dyDescent="0.2">
      <c r="A188" s="16">
        <v>187</v>
      </c>
      <c r="B188" s="34" t="s">
        <v>475</v>
      </c>
      <c r="C188" s="16">
        <v>6</v>
      </c>
      <c r="D188" s="17" t="s">
        <v>283</v>
      </c>
      <c r="E188" s="17" t="s">
        <v>476</v>
      </c>
      <c r="F188" s="17" t="s">
        <v>477</v>
      </c>
      <c r="G188" s="18" t="s">
        <v>478</v>
      </c>
      <c r="H188" s="17" t="s">
        <v>479</v>
      </c>
      <c r="I188" s="17" t="s">
        <v>14</v>
      </c>
      <c r="J188" s="17" t="s">
        <v>14</v>
      </c>
    </row>
    <row r="189" spans="1:10" ht="32" x14ac:dyDescent="0.2">
      <c r="A189" s="16">
        <v>188</v>
      </c>
      <c r="B189" s="34">
        <v>43320</v>
      </c>
      <c r="C189" s="16">
        <v>20</v>
      </c>
      <c r="D189" s="17" t="s">
        <v>100</v>
      </c>
      <c r="E189" s="17" t="s">
        <v>480</v>
      </c>
      <c r="F189" s="17" t="s">
        <v>481</v>
      </c>
      <c r="G189" s="18" t="s">
        <v>482</v>
      </c>
      <c r="H189" s="17" t="s">
        <v>23</v>
      </c>
      <c r="I189" s="23" t="s">
        <v>483</v>
      </c>
      <c r="J189" s="23" t="s">
        <v>483</v>
      </c>
    </row>
    <row r="190" spans="1:10" ht="16" x14ac:dyDescent="0.2">
      <c r="A190" s="16">
        <v>189</v>
      </c>
      <c r="B190" s="34">
        <v>43325</v>
      </c>
      <c r="C190" s="16">
        <v>5</v>
      </c>
      <c r="D190" s="17" t="s">
        <v>164</v>
      </c>
      <c r="E190" s="17" t="s">
        <v>94</v>
      </c>
      <c r="F190" s="17" t="s">
        <v>484</v>
      </c>
      <c r="G190" s="18" t="s">
        <v>485</v>
      </c>
      <c r="H190" s="17" t="s">
        <v>58</v>
      </c>
      <c r="I190" s="17" t="s">
        <v>14</v>
      </c>
      <c r="J190" s="17" t="s">
        <v>14</v>
      </c>
    </row>
    <row r="191" spans="1:10" ht="16" x14ac:dyDescent="0.2">
      <c r="A191" s="16">
        <v>190</v>
      </c>
      <c r="B191" s="34">
        <v>43329</v>
      </c>
      <c r="C191" s="16">
        <v>34</v>
      </c>
      <c r="D191" s="17" t="s">
        <v>355</v>
      </c>
      <c r="E191" s="17" t="s">
        <v>86</v>
      </c>
      <c r="F191" s="17" t="s">
        <v>356</v>
      </c>
      <c r="G191" s="18" t="s">
        <v>486</v>
      </c>
      <c r="H191" s="17" t="s">
        <v>13</v>
      </c>
      <c r="I191" s="17" t="s">
        <v>14</v>
      </c>
      <c r="J191" s="17" t="s">
        <v>14</v>
      </c>
    </row>
    <row r="192" spans="1:10" ht="16" x14ac:dyDescent="0.2">
      <c r="A192" s="16">
        <v>191</v>
      </c>
      <c r="B192" s="34">
        <v>43332</v>
      </c>
      <c r="C192" s="16">
        <v>37</v>
      </c>
      <c r="D192" s="17" t="s">
        <v>182</v>
      </c>
      <c r="E192" s="17" t="s">
        <v>358</v>
      </c>
      <c r="F192" s="17" t="s">
        <v>302</v>
      </c>
      <c r="G192" s="18" t="s">
        <v>487</v>
      </c>
      <c r="H192" s="17" t="s">
        <v>13</v>
      </c>
      <c r="I192" s="17" t="s">
        <v>19</v>
      </c>
      <c r="J192" s="17" t="s">
        <v>19</v>
      </c>
    </row>
    <row r="193" spans="1:12" ht="16" x14ac:dyDescent="0.2">
      <c r="A193" s="16">
        <v>192</v>
      </c>
      <c r="B193" s="34">
        <v>43333</v>
      </c>
      <c r="C193" s="16">
        <v>9</v>
      </c>
      <c r="D193" s="17" t="s">
        <v>244</v>
      </c>
      <c r="E193" s="17" t="s">
        <v>138</v>
      </c>
      <c r="F193" s="17" t="s">
        <v>488</v>
      </c>
      <c r="G193" s="18" t="s">
        <v>294</v>
      </c>
      <c r="H193" s="17" t="s">
        <v>13</v>
      </c>
      <c r="I193" s="17" t="s">
        <v>181</v>
      </c>
      <c r="J193" s="17" t="s">
        <v>181</v>
      </c>
    </row>
    <row r="194" spans="1:12" ht="16" x14ac:dyDescent="0.2">
      <c r="A194" s="16">
        <v>193</v>
      </c>
      <c r="B194" s="34">
        <v>43333</v>
      </c>
      <c r="C194" s="16">
        <v>18</v>
      </c>
      <c r="D194" s="17" t="s">
        <v>343</v>
      </c>
      <c r="E194" s="17" t="s">
        <v>129</v>
      </c>
      <c r="F194" s="17" t="s">
        <v>489</v>
      </c>
      <c r="G194" s="18" t="s">
        <v>490</v>
      </c>
      <c r="H194" s="17" t="s">
        <v>13</v>
      </c>
      <c r="I194" s="17" t="s">
        <v>119</v>
      </c>
      <c r="J194" s="17" t="s">
        <v>119</v>
      </c>
    </row>
    <row r="195" spans="1:12" ht="16" x14ac:dyDescent="0.2">
      <c r="A195" s="16">
        <v>194</v>
      </c>
      <c r="B195" s="34">
        <v>43333</v>
      </c>
      <c r="C195" s="16">
        <v>4</v>
      </c>
      <c r="D195" s="17" t="s">
        <v>168</v>
      </c>
      <c r="E195" s="17" t="s">
        <v>64</v>
      </c>
      <c r="F195" s="17" t="s">
        <v>491</v>
      </c>
      <c r="G195" s="18" t="s">
        <v>492</v>
      </c>
      <c r="H195" s="17" t="s">
        <v>58</v>
      </c>
      <c r="I195" s="17" t="s">
        <v>14</v>
      </c>
      <c r="J195" s="17" t="s">
        <v>14</v>
      </c>
    </row>
    <row r="196" spans="1:12" ht="16" x14ac:dyDescent="0.2">
      <c r="A196" s="16">
        <v>195</v>
      </c>
      <c r="B196" s="34">
        <v>43333</v>
      </c>
      <c r="C196" s="16">
        <v>10</v>
      </c>
      <c r="D196" s="17" t="s">
        <v>9</v>
      </c>
      <c r="E196" s="17" t="s">
        <v>60</v>
      </c>
      <c r="F196" s="17" t="s">
        <v>396</v>
      </c>
      <c r="G196" s="18" t="s">
        <v>493</v>
      </c>
      <c r="H196" s="17" t="s">
        <v>58</v>
      </c>
      <c r="I196" s="17" t="s">
        <v>14</v>
      </c>
      <c r="J196" s="21" t="s">
        <v>14</v>
      </c>
    </row>
    <row r="197" spans="1:12" ht="16" x14ac:dyDescent="0.2">
      <c r="A197" s="16">
        <v>196</v>
      </c>
      <c r="B197" s="34">
        <v>43333</v>
      </c>
      <c r="C197" s="16">
        <v>25</v>
      </c>
      <c r="D197" s="17" t="s">
        <v>128</v>
      </c>
      <c r="E197" s="17" t="s">
        <v>78</v>
      </c>
      <c r="F197" s="17"/>
      <c r="G197" s="18" t="s">
        <v>494</v>
      </c>
      <c r="H197" s="17" t="s">
        <v>58</v>
      </c>
      <c r="I197" s="17" t="s">
        <v>14</v>
      </c>
      <c r="J197" s="17" t="s">
        <v>14</v>
      </c>
      <c r="K197" s="24"/>
      <c r="L197" s="25"/>
    </row>
    <row r="198" spans="1:12" ht="16" x14ac:dyDescent="0.2">
      <c r="A198" s="16">
        <v>197</v>
      </c>
      <c r="B198" s="34">
        <v>43335</v>
      </c>
      <c r="C198" s="16">
        <v>41</v>
      </c>
      <c r="D198" s="17" t="s">
        <v>26</v>
      </c>
      <c r="E198" s="17" t="s">
        <v>146</v>
      </c>
      <c r="F198" s="17" t="s">
        <v>495</v>
      </c>
      <c r="G198" s="18" t="s">
        <v>496</v>
      </c>
      <c r="H198" s="17" t="s">
        <v>58</v>
      </c>
      <c r="I198" s="21" t="s">
        <v>423</v>
      </c>
      <c r="J198" s="21" t="s">
        <v>423</v>
      </c>
    </row>
    <row r="199" spans="1:12" ht="16" x14ac:dyDescent="0.2">
      <c r="A199" s="16">
        <v>198</v>
      </c>
      <c r="B199" s="34">
        <v>43336</v>
      </c>
      <c r="C199" s="16">
        <v>31</v>
      </c>
      <c r="D199" s="17" t="s">
        <v>120</v>
      </c>
      <c r="E199" s="17" t="s">
        <v>86</v>
      </c>
      <c r="F199" s="17" t="s">
        <v>497</v>
      </c>
      <c r="G199" s="18" t="s">
        <v>498</v>
      </c>
      <c r="H199" s="17" t="s">
        <v>58</v>
      </c>
      <c r="I199" s="17" t="s">
        <v>14</v>
      </c>
      <c r="J199" s="17" t="s">
        <v>14</v>
      </c>
    </row>
    <row r="200" spans="1:12" ht="16" x14ac:dyDescent="0.2">
      <c r="A200" s="16">
        <v>199</v>
      </c>
      <c r="B200" s="34">
        <v>43336</v>
      </c>
      <c r="C200" s="16" t="s">
        <v>80</v>
      </c>
      <c r="D200" s="17" t="s">
        <v>81</v>
      </c>
      <c r="E200" s="17" t="s">
        <v>351</v>
      </c>
      <c r="F200" s="17"/>
      <c r="G200" s="18" t="s">
        <v>499</v>
      </c>
      <c r="H200" s="17" t="s">
        <v>13</v>
      </c>
      <c r="I200" s="17" t="s">
        <v>14</v>
      </c>
      <c r="J200" s="17" t="s">
        <v>14</v>
      </c>
    </row>
    <row r="201" spans="1:12" ht="16" x14ac:dyDescent="0.2">
      <c r="A201" s="16">
        <v>200</v>
      </c>
      <c r="B201" s="34">
        <v>43339</v>
      </c>
      <c r="C201" s="16">
        <v>8</v>
      </c>
      <c r="D201" s="17" t="s">
        <v>500</v>
      </c>
      <c r="E201" s="17" t="s">
        <v>466</v>
      </c>
      <c r="F201" s="17"/>
      <c r="G201" s="18" t="s">
        <v>501</v>
      </c>
      <c r="H201" s="17" t="s">
        <v>13</v>
      </c>
      <c r="I201" s="17" t="s">
        <v>200</v>
      </c>
      <c r="J201" s="17" t="s">
        <v>252</v>
      </c>
    </row>
    <row r="202" spans="1:12" ht="16" x14ac:dyDescent="0.2">
      <c r="A202" s="16">
        <v>201</v>
      </c>
      <c r="B202" s="34">
        <v>43341</v>
      </c>
      <c r="C202" s="16">
        <v>2</v>
      </c>
      <c r="D202" s="17" t="s">
        <v>502</v>
      </c>
      <c r="E202" s="17" t="s">
        <v>138</v>
      </c>
      <c r="F202" s="17" t="s">
        <v>250</v>
      </c>
      <c r="G202" s="18" t="s">
        <v>503</v>
      </c>
      <c r="H202" s="17" t="s">
        <v>58</v>
      </c>
      <c r="I202" s="17" t="s">
        <v>119</v>
      </c>
      <c r="J202" s="17" t="s">
        <v>119</v>
      </c>
      <c r="K202" s="43"/>
    </row>
    <row r="203" spans="1:12" ht="32" x14ac:dyDescent="0.2">
      <c r="A203" s="16">
        <v>202</v>
      </c>
      <c r="B203" s="34">
        <v>43346</v>
      </c>
      <c r="C203" s="16">
        <v>47</v>
      </c>
      <c r="D203" s="17" t="s">
        <v>228</v>
      </c>
      <c r="E203" s="17" t="s">
        <v>146</v>
      </c>
      <c r="F203" s="17" t="s">
        <v>364</v>
      </c>
      <c r="G203" s="18" t="s">
        <v>504</v>
      </c>
      <c r="H203" s="17" t="s">
        <v>58</v>
      </c>
      <c r="I203" s="23" t="s">
        <v>423</v>
      </c>
      <c r="J203" s="23" t="s">
        <v>423</v>
      </c>
    </row>
    <row r="204" spans="1:12" ht="16" x14ac:dyDescent="0.2">
      <c r="A204" s="16">
        <v>203</v>
      </c>
      <c r="B204" s="34">
        <v>43347</v>
      </c>
      <c r="C204" s="16">
        <v>15</v>
      </c>
      <c r="D204" s="17" t="s">
        <v>398</v>
      </c>
      <c r="E204" s="17" t="s">
        <v>60</v>
      </c>
      <c r="F204" s="17" t="s">
        <v>505</v>
      </c>
      <c r="G204" s="18" t="s">
        <v>506</v>
      </c>
      <c r="H204" s="17" t="s">
        <v>58</v>
      </c>
      <c r="I204" s="17" t="s">
        <v>14</v>
      </c>
      <c r="J204" s="17" t="s">
        <v>14</v>
      </c>
    </row>
    <row r="205" spans="1:12" ht="16" x14ac:dyDescent="0.2">
      <c r="A205" s="16">
        <v>204</v>
      </c>
      <c r="B205" s="34">
        <v>43347</v>
      </c>
      <c r="C205" s="16">
        <v>5</v>
      </c>
      <c r="D205" s="17" t="s">
        <v>164</v>
      </c>
      <c r="E205" s="17" t="s">
        <v>507</v>
      </c>
      <c r="F205" s="17" t="s">
        <v>508</v>
      </c>
      <c r="G205" s="18" t="s">
        <v>509</v>
      </c>
      <c r="H205" s="17" t="s">
        <v>23</v>
      </c>
      <c r="I205" s="17" t="s">
        <v>84</v>
      </c>
      <c r="J205" s="17" t="s">
        <v>84</v>
      </c>
    </row>
    <row r="206" spans="1:12" ht="16" x14ac:dyDescent="0.2">
      <c r="A206" s="16">
        <v>205</v>
      </c>
      <c r="B206" s="34">
        <v>43347</v>
      </c>
      <c r="C206" s="16">
        <v>3</v>
      </c>
      <c r="D206" s="17" t="s">
        <v>295</v>
      </c>
      <c r="E206" s="17" t="s">
        <v>60</v>
      </c>
      <c r="F206" s="17" t="s">
        <v>510</v>
      </c>
      <c r="G206" s="18" t="s">
        <v>511</v>
      </c>
      <c r="H206" s="17" t="s">
        <v>13</v>
      </c>
      <c r="I206" s="17" t="s">
        <v>14</v>
      </c>
      <c r="J206" s="17" t="s">
        <v>14</v>
      </c>
    </row>
    <row r="207" spans="1:12" ht="16" x14ac:dyDescent="0.2">
      <c r="A207" s="16">
        <v>206</v>
      </c>
      <c r="B207" s="34">
        <v>43350</v>
      </c>
      <c r="C207" s="16">
        <v>16</v>
      </c>
      <c r="D207" s="17" t="s">
        <v>137</v>
      </c>
      <c r="E207" s="17" t="s">
        <v>428</v>
      </c>
      <c r="F207" s="17" t="s">
        <v>141</v>
      </c>
      <c r="G207" s="18" t="s">
        <v>512</v>
      </c>
      <c r="H207" s="17" t="s">
        <v>13</v>
      </c>
      <c r="I207" s="17" t="s">
        <v>181</v>
      </c>
      <c r="J207" s="17" t="s">
        <v>181</v>
      </c>
    </row>
    <row r="208" spans="1:12" ht="16" x14ac:dyDescent="0.2">
      <c r="A208" s="16">
        <v>207</v>
      </c>
      <c r="B208" s="34">
        <v>43354</v>
      </c>
      <c r="C208" s="16">
        <v>7</v>
      </c>
      <c r="D208" s="17" t="s">
        <v>55</v>
      </c>
      <c r="E208" s="17" t="s">
        <v>36</v>
      </c>
      <c r="F208" s="17" t="s">
        <v>513</v>
      </c>
      <c r="G208" s="18" t="s">
        <v>514</v>
      </c>
      <c r="H208" s="17" t="s">
        <v>13</v>
      </c>
      <c r="I208" s="17" t="s">
        <v>119</v>
      </c>
      <c r="J208" s="17" t="s">
        <v>14</v>
      </c>
      <c r="K208" s="26"/>
    </row>
    <row r="209" spans="1:11" ht="16" x14ac:dyDescent="0.2">
      <c r="A209" s="16">
        <v>208</v>
      </c>
      <c r="B209" s="34">
        <v>43354</v>
      </c>
      <c r="C209" s="16">
        <v>29</v>
      </c>
      <c r="D209" s="17" t="s">
        <v>98</v>
      </c>
      <c r="E209" s="17" t="s">
        <v>46</v>
      </c>
      <c r="F209" s="17" t="s">
        <v>515</v>
      </c>
      <c r="G209" s="18" t="s">
        <v>516</v>
      </c>
      <c r="H209" s="17" t="s">
        <v>58</v>
      </c>
      <c r="I209" s="17" t="s">
        <v>119</v>
      </c>
      <c r="J209" s="17" t="s">
        <v>119</v>
      </c>
      <c r="K209" s="26"/>
    </row>
    <row r="210" spans="1:11" ht="16" x14ac:dyDescent="0.2">
      <c r="A210" s="16">
        <v>209</v>
      </c>
      <c r="B210" s="34">
        <v>43355</v>
      </c>
      <c r="C210" s="16">
        <v>46</v>
      </c>
      <c r="D210" s="17" t="s">
        <v>517</v>
      </c>
      <c r="E210" s="17" t="s">
        <v>146</v>
      </c>
      <c r="F210" s="17" t="s">
        <v>518</v>
      </c>
      <c r="G210" s="18" t="s">
        <v>519</v>
      </c>
      <c r="H210" s="17" t="s">
        <v>23</v>
      </c>
      <c r="I210" s="17" t="s">
        <v>30</v>
      </c>
      <c r="J210" s="17" t="s">
        <v>30</v>
      </c>
      <c r="K210" s="26"/>
    </row>
    <row r="211" spans="1:11" ht="32" x14ac:dyDescent="0.2">
      <c r="A211" s="16">
        <v>210</v>
      </c>
      <c r="B211" s="34">
        <v>43355</v>
      </c>
      <c r="C211" s="16">
        <v>20</v>
      </c>
      <c r="D211" s="17" t="s">
        <v>100</v>
      </c>
      <c r="E211" s="17" t="s">
        <v>520</v>
      </c>
      <c r="F211" s="17"/>
      <c r="G211" s="18" t="s">
        <v>521</v>
      </c>
      <c r="H211" s="17" t="s">
        <v>23</v>
      </c>
      <c r="I211" s="17" t="s">
        <v>76</v>
      </c>
      <c r="J211" s="17" t="s">
        <v>252</v>
      </c>
    </row>
    <row r="212" spans="1:11" ht="16" x14ac:dyDescent="0.2">
      <c r="A212" s="16">
        <v>211</v>
      </c>
      <c r="B212" s="34">
        <v>43360</v>
      </c>
      <c r="C212" s="16">
        <v>29</v>
      </c>
      <c r="D212" s="17" t="s">
        <v>98</v>
      </c>
      <c r="E212" s="17" t="s">
        <v>32</v>
      </c>
      <c r="F212" s="17" t="s">
        <v>17</v>
      </c>
      <c r="G212" s="18" t="s">
        <v>522</v>
      </c>
      <c r="H212" s="17" t="s">
        <v>13</v>
      </c>
      <c r="I212" s="17" t="s">
        <v>119</v>
      </c>
      <c r="J212" s="17" t="s">
        <v>119</v>
      </c>
    </row>
    <row r="213" spans="1:11" ht="16" x14ac:dyDescent="0.2">
      <c r="A213" s="16">
        <v>212</v>
      </c>
      <c r="B213" s="34">
        <v>43360</v>
      </c>
      <c r="C213" s="16">
        <v>1</v>
      </c>
      <c r="D213" s="17" t="s">
        <v>390</v>
      </c>
      <c r="E213" s="17" t="s">
        <v>466</v>
      </c>
      <c r="F213" s="17" t="s">
        <v>523</v>
      </c>
      <c r="G213" s="18" t="s">
        <v>524</v>
      </c>
      <c r="H213" s="17" t="s">
        <v>13</v>
      </c>
      <c r="I213" s="17" t="s">
        <v>181</v>
      </c>
      <c r="J213" s="17" t="s">
        <v>181</v>
      </c>
    </row>
    <row r="214" spans="1:11" ht="16" x14ac:dyDescent="0.2">
      <c r="A214" s="16">
        <v>213</v>
      </c>
      <c r="B214" s="34">
        <v>43360</v>
      </c>
      <c r="C214" s="16">
        <v>7</v>
      </c>
      <c r="D214" s="17" t="s">
        <v>55</v>
      </c>
      <c r="E214" s="17" t="s">
        <v>46</v>
      </c>
      <c r="F214" s="17" t="s">
        <v>525</v>
      </c>
      <c r="G214" s="18" t="s">
        <v>526</v>
      </c>
      <c r="H214" s="17" t="s">
        <v>58</v>
      </c>
      <c r="I214" s="17" t="s">
        <v>527</v>
      </c>
      <c r="J214" s="17"/>
    </row>
    <row r="215" spans="1:11" ht="16" x14ac:dyDescent="0.2">
      <c r="A215" s="16">
        <v>214</v>
      </c>
      <c r="B215" s="34">
        <v>43362</v>
      </c>
      <c r="C215" s="16">
        <v>12</v>
      </c>
      <c r="D215" s="17" t="s">
        <v>89</v>
      </c>
      <c r="E215" s="17" t="s">
        <v>528</v>
      </c>
      <c r="F215" s="17" t="s">
        <v>529</v>
      </c>
      <c r="G215" s="18" t="s">
        <v>530</v>
      </c>
      <c r="H215" s="17" t="s">
        <v>463</v>
      </c>
      <c r="I215" s="17" t="s">
        <v>14</v>
      </c>
      <c r="J215" s="17" t="s">
        <v>14</v>
      </c>
    </row>
    <row r="216" spans="1:11" ht="16" x14ac:dyDescent="0.2">
      <c r="A216" s="16">
        <v>215</v>
      </c>
      <c r="B216" s="34">
        <v>43362</v>
      </c>
      <c r="C216" s="16">
        <v>45</v>
      </c>
      <c r="D216" s="17" t="s">
        <v>531</v>
      </c>
      <c r="E216" s="17" t="s">
        <v>64</v>
      </c>
      <c r="F216" s="17" t="s">
        <v>532</v>
      </c>
      <c r="G216" s="18" t="s">
        <v>533</v>
      </c>
      <c r="H216" s="17" t="s">
        <v>23</v>
      </c>
      <c r="I216" s="17" t="s">
        <v>14</v>
      </c>
      <c r="J216" s="17" t="s">
        <v>14</v>
      </c>
    </row>
    <row r="217" spans="1:11" ht="16" x14ac:dyDescent="0.2">
      <c r="A217" s="16">
        <v>216</v>
      </c>
      <c r="B217" s="34">
        <v>43367</v>
      </c>
      <c r="C217" s="16">
        <v>14</v>
      </c>
      <c r="D217" s="17" t="s">
        <v>534</v>
      </c>
      <c r="E217" s="17"/>
      <c r="F217" s="17"/>
      <c r="G217" s="18" t="s">
        <v>535</v>
      </c>
      <c r="H217" s="17" t="s">
        <v>23</v>
      </c>
      <c r="I217" s="17" t="s">
        <v>181</v>
      </c>
      <c r="J217" s="17" t="s">
        <v>181</v>
      </c>
    </row>
    <row r="218" spans="1:11" ht="16" x14ac:dyDescent="0.2">
      <c r="A218" s="16">
        <v>217</v>
      </c>
      <c r="B218" s="34">
        <v>43368</v>
      </c>
      <c r="C218" s="16">
        <v>20</v>
      </c>
      <c r="D218" s="17" t="s">
        <v>100</v>
      </c>
      <c r="E218" s="17" t="s">
        <v>480</v>
      </c>
      <c r="F218" s="17" t="s">
        <v>481</v>
      </c>
      <c r="G218" s="18" t="s">
        <v>536</v>
      </c>
      <c r="H218" s="17" t="s">
        <v>23</v>
      </c>
      <c r="I218" s="21" t="s">
        <v>483</v>
      </c>
      <c r="J218" s="21" t="s">
        <v>483</v>
      </c>
      <c r="K218" s="27"/>
    </row>
    <row r="219" spans="1:11" ht="16" x14ac:dyDescent="0.2">
      <c r="A219" s="16">
        <v>218</v>
      </c>
      <c r="B219" s="34">
        <v>43368</v>
      </c>
      <c r="C219" s="16">
        <v>42</v>
      </c>
      <c r="D219" s="17" t="s">
        <v>537</v>
      </c>
      <c r="E219" s="17" t="s">
        <v>538</v>
      </c>
      <c r="F219" s="17"/>
      <c r="G219" s="18" t="s">
        <v>539</v>
      </c>
      <c r="H219" s="17" t="s">
        <v>23</v>
      </c>
      <c r="I219" s="17" t="s">
        <v>540</v>
      </c>
      <c r="J219" s="17"/>
    </row>
    <row r="220" spans="1:11" ht="16" x14ac:dyDescent="0.2">
      <c r="A220" s="16">
        <v>219</v>
      </c>
      <c r="B220" s="34">
        <v>43374</v>
      </c>
      <c r="C220" s="16">
        <v>38</v>
      </c>
      <c r="D220" s="17" t="s">
        <v>171</v>
      </c>
      <c r="E220" s="17" t="s">
        <v>202</v>
      </c>
      <c r="F220" s="17" t="s">
        <v>541</v>
      </c>
      <c r="G220" s="18" t="s">
        <v>542</v>
      </c>
      <c r="H220" s="17" t="s">
        <v>13</v>
      </c>
      <c r="I220" s="17" t="s">
        <v>286</v>
      </c>
      <c r="J220" s="17" t="s">
        <v>286</v>
      </c>
    </row>
    <row r="221" spans="1:11" ht="16" x14ac:dyDescent="0.2">
      <c r="A221" s="16">
        <v>220</v>
      </c>
      <c r="B221" s="34">
        <v>43375</v>
      </c>
      <c r="C221" s="16">
        <v>39</v>
      </c>
      <c r="D221" s="17" t="s">
        <v>152</v>
      </c>
      <c r="E221" s="17" t="s">
        <v>273</v>
      </c>
      <c r="F221" s="17"/>
      <c r="G221" s="18" t="s">
        <v>512</v>
      </c>
      <c r="H221" s="17" t="s">
        <v>13</v>
      </c>
      <c r="I221" s="23" t="s">
        <v>543</v>
      </c>
      <c r="J221" s="23" t="s">
        <v>543</v>
      </c>
    </row>
    <row r="222" spans="1:11" ht="16" x14ac:dyDescent="0.2">
      <c r="A222" s="9">
        <v>221</v>
      </c>
      <c r="B222" s="34">
        <v>43375</v>
      </c>
      <c r="C222" s="16">
        <v>8</v>
      </c>
      <c r="D222" s="17" t="s">
        <v>544</v>
      </c>
      <c r="E222" s="17" t="s">
        <v>480</v>
      </c>
      <c r="F222" s="17" t="s">
        <v>545</v>
      </c>
      <c r="G222" s="18" t="s">
        <v>374</v>
      </c>
      <c r="H222" s="17" t="s">
        <v>58</v>
      </c>
      <c r="I222" s="23" t="s">
        <v>546</v>
      </c>
      <c r="J222" s="43" t="s">
        <v>48</v>
      </c>
    </row>
    <row r="223" spans="1:11" ht="16" x14ac:dyDescent="0.2">
      <c r="A223" s="16">
        <v>222</v>
      </c>
      <c r="B223" s="34">
        <v>43377</v>
      </c>
      <c r="C223" s="16">
        <v>4</v>
      </c>
      <c r="D223" s="17" t="s">
        <v>168</v>
      </c>
      <c r="E223" s="17" t="s">
        <v>32</v>
      </c>
      <c r="F223" s="17" t="s">
        <v>242</v>
      </c>
      <c r="G223" s="18" t="s">
        <v>542</v>
      </c>
      <c r="H223" s="17" t="s">
        <v>13</v>
      </c>
      <c r="I223" s="17" t="s">
        <v>181</v>
      </c>
      <c r="J223" s="17" t="s">
        <v>181</v>
      </c>
    </row>
    <row r="224" spans="1:11" ht="16" x14ac:dyDescent="0.2">
      <c r="A224" s="16">
        <v>223</v>
      </c>
      <c r="B224" s="34">
        <v>43378</v>
      </c>
      <c r="C224" s="16">
        <v>21</v>
      </c>
      <c r="D224" s="17" t="s">
        <v>31</v>
      </c>
      <c r="E224" s="17" t="s">
        <v>547</v>
      </c>
      <c r="F224" s="17" t="s">
        <v>548</v>
      </c>
      <c r="G224" s="18" t="s">
        <v>549</v>
      </c>
      <c r="H224" s="17" t="s">
        <v>13</v>
      </c>
      <c r="I224" s="17" t="s">
        <v>14</v>
      </c>
      <c r="J224" s="17" t="s">
        <v>14</v>
      </c>
    </row>
    <row r="225" spans="1:15" ht="48" x14ac:dyDescent="0.2">
      <c r="A225" s="16">
        <v>224</v>
      </c>
      <c r="B225" s="34">
        <v>43378</v>
      </c>
      <c r="C225" s="16">
        <v>13</v>
      </c>
      <c r="D225" s="17" t="s">
        <v>238</v>
      </c>
      <c r="E225" s="17" t="s">
        <v>27</v>
      </c>
      <c r="F225" s="17" t="s">
        <v>550</v>
      </c>
      <c r="G225" s="18" t="s">
        <v>551</v>
      </c>
      <c r="H225" s="17" t="s">
        <v>23</v>
      </c>
      <c r="I225" s="38" t="s">
        <v>306</v>
      </c>
      <c r="J225" s="38" t="s">
        <v>306</v>
      </c>
    </row>
    <row r="226" spans="1:15" ht="16" x14ac:dyDescent="0.2">
      <c r="A226" s="16">
        <v>225</v>
      </c>
      <c r="B226" s="34">
        <v>43378</v>
      </c>
      <c r="C226" s="16">
        <v>15</v>
      </c>
      <c r="D226" s="17" t="s">
        <v>398</v>
      </c>
      <c r="E226" s="17" t="s">
        <v>86</v>
      </c>
      <c r="F226" s="17" t="s">
        <v>552</v>
      </c>
      <c r="G226" s="18" t="s">
        <v>553</v>
      </c>
      <c r="H226" s="17" t="s">
        <v>13</v>
      </c>
      <c r="I226" s="17" t="s">
        <v>181</v>
      </c>
      <c r="J226" s="17" t="s">
        <v>181</v>
      </c>
    </row>
    <row r="227" spans="1:15" ht="16" x14ac:dyDescent="0.2">
      <c r="A227" s="16">
        <v>226</v>
      </c>
      <c r="B227" s="34">
        <v>43378</v>
      </c>
      <c r="C227" s="16">
        <v>37</v>
      </c>
      <c r="D227" s="17" t="s">
        <v>182</v>
      </c>
      <c r="E227" s="17" t="s">
        <v>10</v>
      </c>
      <c r="F227" s="17" t="s">
        <v>184</v>
      </c>
      <c r="G227" s="18" t="s">
        <v>554</v>
      </c>
      <c r="H227" s="17" t="s">
        <v>13</v>
      </c>
      <c r="I227" s="17" t="s">
        <v>181</v>
      </c>
      <c r="J227" s="17" t="s">
        <v>181</v>
      </c>
      <c r="K227" s="26"/>
    </row>
    <row r="228" spans="1:15" ht="16" x14ac:dyDescent="0.2">
      <c r="A228" s="16">
        <v>227</v>
      </c>
      <c r="B228" s="34">
        <v>43381</v>
      </c>
      <c r="C228" s="16">
        <v>10</v>
      </c>
      <c r="D228" s="17" t="s">
        <v>9</v>
      </c>
      <c r="E228" s="17" t="s">
        <v>555</v>
      </c>
      <c r="F228" s="17"/>
      <c r="G228" s="18" t="s">
        <v>556</v>
      </c>
      <c r="H228" s="17" t="s">
        <v>58</v>
      </c>
      <c r="I228" s="17" t="s">
        <v>14</v>
      </c>
      <c r="J228" s="17" t="s">
        <v>14</v>
      </c>
    </row>
    <row r="229" spans="1:15" ht="16" x14ac:dyDescent="0.2">
      <c r="A229" s="16">
        <v>228</v>
      </c>
      <c r="B229" s="34">
        <v>43382</v>
      </c>
      <c r="C229" s="16">
        <v>18</v>
      </c>
      <c r="D229" s="17" t="s">
        <v>343</v>
      </c>
      <c r="E229" s="17" t="s">
        <v>149</v>
      </c>
      <c r="F229" s="17" t="s">
        <v>209</v>
      </c>
      <c r="G229" s="18" t="s">
        <v>557</v>
      </c>
      <c r="H229" s="17" t="s">
        <v>13</v>
      </c>
      <c r="I229" s="17" t="s">
        <v>119</v>
      </c>
      <c r="J229" s="17" t="s">
        <v>119</v>
      </c>
      <c r="K229" s="26"/>
    </row>
    <row r="230" spans="1:15" s="19" customFormat="1" ht="16" x14ac:dyDescent="0.2">
      <c r="A230" s="16">
        <v>229</v>
      </c>
      <c r="B230" s="34">
        <v>43382</v>
      </c>
      <c r="C230" s="16">
        <v>47</v>
      </c>
      <c r="D230" s="17" t="s">
        <v>228</v>
      </c>
      <c r="E230" s="17" t="s">
        <v>86</v>
      </c>
      <c r="F230" s="17" t="s">
        <v>558</v>
      </c>
      <c r="G230" s="18" t="s">
        <v>559</v>
      </c>
      <c r="H230" s="17" t="s">
        <v>13</v>
      </c>
      <c r="I230" s="58" t="s">
        <v>19</v>
      </c>
      <c r="J230" s="58" t="s">
        <v>19</v>
      </c>
      <c r="K230" s="28"/>
    </row>
    <row r="231" spans="1:15" ht="16" x14ac:dyDescent="0.2">
      <c r="A231" s="16">
        <v>230</v>
      </c>
      <c r="B231" s="34">
        <v>43382</v>
      </c>
      <c r="C231" s="16">
        <v>26</v>
      </c>
      <c r="D231" s="17" t="s">
        <v>110</v>
      </c>
      <c r="E231" s="17" t="s">
        <v>138</v>
      </c>
      <c r="F231" s="17" t="s">
        <v>560</v>
      </c>
      <c r="G231" s="18" t="s">
        <v>561</v>
      </c>
      <c r="H231" s="17" t="s">
        <v>58</v>
      </c>
      <c r="I231" s="17" t="s">
        <v>181</v>
      </c>
      <c r="J231" s="17" t="s">
        <v>181</v>
      </c>
    </row>
    <row r="232" spans="1:15" ht="16" x14ac:dyDescent="0.2">
      <c r="A232" s="16">
        <v>231</v>
      </c>
      <c r="B232" s="34">
        <v>43382</v>
      </c>
      <c r="C232" s="16">
        <v>25</v>
      </c>
      <c r="D232" s="17" t="s">
        <v>562</v>
      </c>
      <c r="E232" s="17" t="s">
        <v>563</v>
      </c>
      <c r="F232" s="17"/>
      <c r="G232" s="18" t="s">
        <v>564</v>
      </c>
      <c r="H232" s="17" t="s">
        <v>58</v>
      </c>
      <c r="I232" s="17"/>
      <c r="J232" s="38" t="s">
        <v>565</v>
      </c>
      <c r="O232" s="68"/>
    </row>
    <row r="233" spans="1:15" ht="16" x14ac:dyDescent="0.2">
      <c r="A233" s="16">
        <v>232</v>
      </c>
      <c r="B233" s="34">
        <v>43383</v>
      </c>
      <c r="C233" s="16">
        <v>20</v>
      </c>
      <c r="D233" s="17" t="s">
        <v>100</v>
      </c>
      <c r="E233" s="17" t="s">
        <v>566</v>
      </c>
      <c r="F233" s="17" t="s">
        <v>481</v>
      </c>
      <c r="G233" s="18" t="s">
        <v>567</v>
      </c>
      <c r="H233" s="17" t="s">
        <v>13</v>
      </c>
      <c r="I233" s="23" t="s">
        <v>104</v>
      </c>
      <c r="J233" s="17" t="s">
        <v>104</v>
      </c>
      <c r="K233" s="26"/>
    </row>
    <row r="234" spans="1:15" ht="16" x14ac:dyDescent="0.2">
      <c r="A234" s="16">
        <v>233</v>
      </c>
      <c r="B234" s="34">
        <v>43378</v>
      </c>
      <c r="C234" s="16">
        <v>19</v>
      </c>
      <c r="D234" s="17" t="s">
        <v>35</v>
      </c>
      <c r="E234" s="17" t="s">
        <v>568</v>
      </c>
      <c r="F234" s="17" t="s">
        <v>569</v>
      </c>
      <c r="G234" s="18" t="s">
        <v>570</v>
      </c>
      <c r="H234" s="17" t="s">
        <v>13</v>
      </c>
      <c r="I234" s="23" t="s">
        <v>200</v>
      </c>
      <c r="J234" s="17" t="s">
        <v>200</v>
      </c>
      <c r="K234"/>
    </row>
    <row r="235" spans="1:15" ht="16" x14ac:dyDescent="0.2">
      <c r="A235" s="16">
        <v>234</v>
      </c>
      <c r="B235" s="34">
        <v>43385</v>
      </c>
      <c r="C235" s="16">
        <v>20</v>
      </c>
      <c r="D235" s="17" t="s">
        <v>100</v>
      </c>
      <c r="E235" s="17" t="s">
        <v>138</v>
      </c>
      <c r="F235" s="17" t="s">
        <v>102</v>
      </c>
      <c r="G235" s="18" t="s">
        <v>571</v>
      </c>
      <c r="H235" s="17" t="s">
        <v>13</v>
      </c>
      <c r="I235" s="17" t="s">
        <v>200</v>
      </c>
      <c r="J235" s="17" t="s">
        <v>200</v>
      </c>
      <c r="K235"/>
    </row>
    <row r="236" spans="1:15" ht="16" x14ac:dyDescent="0.2">
      <c r="A236" s="16">
        <v>235</v>
      </c>
      <c r="B236" s="34">
        <v>43388</v>
      </c>
      <c r="C236" s="16">
        <v>13</v>
      </c>
      <c r="D236" s="17" t="s">
        <v>238</v>
      </c>
      <c r="E236" s="17" t="s">
        <v>27</v>
      </c>
      <c r="F236" s="17" t="s">
        <v>550</v>
      </c>
      <c r="G236" s="18" t="s">
        <v>572</v>
      </c>
      <c r="H236" s="17" t="s">
        <v>23</v>
      </c>
      <c r="I236" s="17" t="s">
        <v>48</v>
      </c>
      <c r="J236" s="17" t="s">
        <v>48</v>
      </c>
      <c r="K236"/>
    </row>
    <row r="237" spans="1:15" ht="16" x14ac:dyDescent="0.2">
      <c r="A237" s="16">
        <v>236</v>
      </c>
      <c r="B237" s="34">
        <v>43389</v>
      </c>
      <c r="C237" s="16">
        <v>46</v>
      </c>
      <c r="D237" s="17" t="s">
        <v>573</v>
      </c>
      <c r="E237" s="17" t="s">
        <v>269</v>
      </c>
      <c r="F237" s="17" t="s">
        <v>574</v>
      </c>
      <c r="G237" s="18" t="s">
        <v>575</v>
      </c>
      <c r="H237" s="17" t="s">
        <v>23</v>
      </c>
      <c r="I237" s="17" t="s">
        <v>543</v>
      </c>
      <c r="J237" s="17" t="s">
        <v>543</v>
      </c>
      <c r="K237"/>
    </row>
    <row r="238" spans="1:15" ht="16" x14ac:dyDescent="0.2">
      <c r="A238" s="16">
        <v>237</v>
      </c>
      <c r="B238" s="34">
        <v>43389</v>
      </c>
      <c r="C238" s="16">
        <v>46</v>
      </c>
      <c r="D238" s="17" t="s">
        <v>573</v>
      </c>
      <c r="E238" s="17" t="s">
        <v>269</v>
      </c>
      <c r="F238" s="17" t="s">
        <v>574</v>
      </c>
      <c r="G238" s="18" t="s">
        <v>576</v>
      </c>
      <c r="H238" s="17" t="s">
        <v>23</v>
      </c>
      <c r="I238" s="17" t="s">
        <v>119</v>
      </c>
      <c r="J238" s="17" t="s">
        <v>119</v>
      </c>
    </row>
    <row r="239" spans="1:15" ht="16" x14ac:dyDescent="0.2">
      <c r="A239" s="16">
        <v>238</v>
      </c>
      <c r="B239" s="34">
        <v>43390</v>
      </c>
      <c r="C239" s="16">
        <v>21</v>
      </c>
      <c r="D239" s="17" t="s">
        <v>31</v>
      </c>
      <c r="E239" s="17" t="s">
        <v>269</v>
      </c>
      <c r="F239" s="17" t="s">
        <v>577</v>
      </c>
      <c r="G239" s="18" t="s">
        <v>578</v>
      </c>
      <c r="H239" s="17" t="s">
        <v>23</v>
      </c>
      <c r="I239" s="17" t="s">
        <v>14</v>
      </c>
      <c r="J239" s="17" t="s">
        <v>14</v>
      </c>
    </row>
    <row r="240" spans="1:15" ht="16" x14ac:dyDescent="0.2">
      <c r="A240" s="16">
        <v>239</v>
      </c>
      <c r="B240" s="34">
        <v>43391</v>
      </c>
      <c r="C240" s="16">
        <v>22</v>
      </c>
      <c r="D240" s="17" t="s">
        <v>173</v>
      </c>
      <c r="E240" s="17" t="s">
        <v>579</v>
      </c>
      <c r="F240" s="17" t="s">
        <v>580</v>
      </c>
      <c r="G240" s="18" t="s">
        <v>581</v>
      </c>
      <c r="H240" s="17" t="s">
        <v>463</v>
      </c>
      <c r="I240" s="17" t="s">
        <v>14</v>
      </c>
      <c r="J240" s="17" t="s">
        <v>14</v>
      </c>
    </row>
    <row r="241" spans="1:12" ht="16" x14ac:dyDescent="0.2">
      <c r="A241" s="16">
        <v>240</v>
      </c>
      <c r="B241" s="34">
        <v>43391</v>
      </c>
      <c r="C241" s="16">
        <v>24</v>
      </c>
      <c r="D241" s="17" t="s">
        <v>59</v>
      </c>
      <c r="E241" s="17" t="s">
        <v>101</v>
      </c>
      <c r="F241" s="17" t="s">
        <v>582</v>
      </c>
      <c r="G241" s="18" t="s">
        <v>581</v>
      </c>
      <c r="H241" s="17" t="s">
        <v>23</v>
      </c>
      <c r="I241" s="17" t="s">
        <v>14</v>
      </c>
      <c r="J241" s="17" t="s">
        <v>14</v>
      </c>
    </row>
    <row r="242" spans="1:12" ht="16" x14ac:dyDescent="0.2">
      <c r="A242" s="16">
        <v>241</v>
      </c>
      <c r="B242" s="34">
        <v>43395</v>
      </c>
      <c r="C242" s="16">
        <v>47</v>
      </c>
      <c r="D242" s="17" t="s">
        <v>228</v>
      </c>
      <c r="E242" s="17" t="s">
        <v>86</v>
      </c>
      <c r="F242" s="17" t="s">
        <v>558</v>
      </c>
      <c r="G242" s="18" t="s">
        <v>583</v>
      </c>
      <c r="H242" s="17" t="s">
        <v>13</v>
      </c>
      <c r="I242" s="17" t="s">
        <v>543</v>
      </c>
      <c r="J242" s="17" t="s">
        <v>543</v>
      </c>
    </row>
    <row r="243" spans="1:12" ht="16" x14ac:dyDescent="0.2">
      <c r="A243" s="16">
        <v>242</v>
      </c>
      <c r="B243" s="34">
        <v>43395</v>
      </c>
      <c r="C243" s="16">
        <v>47</v>
      </c>
      <c r="D243" s="17" t="s">
        <v>228</v>
      </c>
      <c r="E243" s="17" t="s">
        <v>86</v>
      </c>
      <c r="F243" s="17" t="s">
        <v>558</v>
      </c>
      <c r="G243" s="18" t="s">
        <v>584</v>
      </c>
      <c r="H243" s="17" t="s">
        <v>13</v>
      </c>
      <c r="I243" s="17" t="s">
        <v>14</v>
      </c>
      <c r="J243" s="17" t="s">
        <v>14</v>
      </c>
    </row>
    <row r="244" spans="1:12" ht="32" x14ac:dyDescent="0.2">
      <c r="A244" s="16">
        <v>243</v>
      </c>
      <c r="B244" s="34">
        <v>43397</v>
      </c>
      <c r="C244" s="16">
        <v>19</v>
      </c>
      <c r="D244" s="17" t="s">
        <v>585</v>
      </c>
      <c r="E244" s="17" t="s">
        <v>586</v>
      </c>
      <c r="F244" s="17" t="s">
        <v>587</v>
      </c>
      <c r="G244" s="18" t="s">
        <v>588</v>
      </c>
      <c r="H244" s="17" t="s">
        <v>23</v>
      </c>
      <c r="I244" s="17" t="s">
        <v>14</v>
      </c>
      <c r="J244" s="17" t="s">
        <v>14</v>
      </c>
      <c r="K244" s="26"/>
    </row>
    <row r="245" spans="1:12" ht="16" x14ac:dyDescent="0.2">
      <c r="A245" s="16">
        <v>244</v>
      </c>
      <c r="B245" s="35">
        <v>43398</v>
      </c>
      <c r="C245" s="16">
        <v>6</v>
      </c>
      <c r="D245" s="17" t="s">
        <v>283</v>
      </c>
      <c r="E245" s="17" t="s">
        <v>64</v>
      </c>
      <c r="F245" s="17" t="s">
        <v>589</v>
      </c>
      <c r="G245" s="18" t="s">
        <v>590</v>
      </c>
      <c r="H245" s="17" t="s">
        <v>58</v>
      </c>
      <c r="I245" s="17" t="s">
        <v>14</v>
      </c>
      <c r="J245" s="17" t="s">
        <v>14</v>
      </c>
    </row>
    <row r="246" spans="1:12" ht="32" x14ac:dyDescent="0.2">
      <c r="A246" s="16">
        <v>245</v>
      </c>
      <c r="B246" s="35">
        <v>43399</v>
      </c>
      <c r="C246" s="16">
        <v>19</v>
      </c>
      <c r="D246" s="17" t="s">
        <v>585</v>
      </c>
      <c r="E246" s="17" t="s">
        <v>591</v>
      </c>
      <c r="F246" s="17" t="s">
        <v>17</v>
      </c>
      <c r="G246" s="18" t="s">
        <v>592</v>
      </c>
      <c r="H246" s="17" t="s">
        <v>23</v>
      </c>
      <c r="I246" s="17" t="s">
        <v>14</v>
      </c>
      <c r="J246" s="17" t="s">
        <v>14</v>
      </c>
    </row>
    <row r="247" spans="1:12" ht="80" x14ac:dyDescent="0.2">
      <c r="A247" s="16">
        <v>246</v>
      </c>
      <c r="B247" s="35">
        <v>43399</v>
      </c>
      <c r="C247" s="16">
        <v>19</v>
      </c>
      <c r="D247" s="17" t="s">
        <v>585</v>
      </c>
      <c r="E247" s="17" t="s">
        <v>591</v>
      </c>
      <c r="F247" s="17" t="s">
        <v>17</v>
      </c>
      <c r="G247" s="18" t="s">
        <v>593</v>
      </c>
      <c r="H247" s="17" t="s">
        <v>23</v>
      </c>
      <c r="I247" s="17" t="s">
        <v>119</v>
      </c>
      <c r="J247" s="17" t="s">
        <v>119</v>
      </c>
    </row>
    <row r="248" spans="1:12" ht="16" x14ac:dyDescent="0.2">
      <c r="A248" s="16">
        <v>247</v>
      </c>
      <c r="B248" s="35">
        <v>43402</v>
      </c>
      <c r="C248" s="16">
        <v>38</v>
      </c>
      <c r="D248" s="17" t="s">
        <v>594</v>
      </c>
      <c r="E248" s="17" t="s">
        <v>595</v>
      </c>
      <c r="F248" s="17" t="s">
        <v>108</v>
      </c>
      <c r="G248" s="32" t="s">
        <v>290</v>
      </c>
      <c r="H248" s="17" t="s">
        <v>58</v>
      </c>
      <c r="I248" s="57" t="s">
        <v>14</v>
      </c>
      <c r="J248" s="21" t="s">
        <v>14</v>
      </c>
    </row>
    <row r="249" spans="1:12" x14ac:dyDescent="0.2">
      <c r="A249" s="16">
        <v>248</v>
      </c>
      <c r="B249" s="35">
        <v>43402</v>
      </c>
      <c r="C249" s="16">
        <v>46</v>
      </c>
      <c r="D249" s="17" t="s">
        <v>573</v>
      </c>
      <c r="E249" s="17"/>
      <c r="F249" s="17"/>
      <c r="G249" s="59" t="s">
        <v>596</v>
      </c>
      <c r="H249" s="17" t="s">
        <v>23</v>
      </c>
      <c r="I249" s="17" t="s">
        <v>14</v>
      </c>
      <c r="J249" s="17" t="s">
        <v>14</v>
      </c>
    </row>
    <row r="250" spans="1:12" ht="16" x14ac:dyDescent="0.2">
      <c r="A250" s="16">
        <v>249</v>
      </c>
      <c r="B250" s="35">
        <v>43402</v>
      </c>
      <c r="C250" s="16">
        <v>2</v>
      </c>
      <c r="D250" s="17" t="s">
        <v>597</v>
      </c>
      <c r="E250" s="17" t="s">
        <v>60</v>
      </c>
      <c r="F250" s="17" t="s">
        <v>266</v>
      </c>
      <c r="G250" s="18" t="s">
        <v>598</v>
      </c>
      <c r="H250" s="17" t="s">
        <v>58</v>
      </c>
      <c r="I250" s="17" t="s">
        <v>14</v>
      </c>
      <c r="J250" s="17" t="s">
        <v>14</v>
      </c>
    </row>
    <row r="251" spans="1:12" ht="16" x14ac:dyDescent="0.2">
      <c r="A251" s="16">
        <v>250</v>
      </c>
      <c r="B251" s="35">
        <v>43402</v>
      </c>
      <c r="C251" s="16">
        <v>15</v>
      </c>
      <c r="D251" s="17" t="s">
        <v>398</v>
      </c>
      <c r="E251" s="17" t="s">
        <v>21</v>
      </c>
      <c r="F251" s="17"/>
      <c r="G251" s="18" t="s">
        <v>70</v>
      </c>
      <c r="H251" s="17" t="s">
        <v>58</v>
      </c>
      <c r="I251" s="17" t="s">
        <v>14</v>
      </c>
      <c r="J251" s="17" t="s">
        <v>14</v>
      </c>
    </row>
    <row r="252" spans="1:12" ht="16" x14ac:dyDescent="0.2">
      <c r="A252" s="16">
        <v>251</v>
      </c>
      <c r="B252" s="35">
        <v>43410</v>
      </c>
      <c r="C252" s="16">
        <v>23</v>
      </c>
      <c r="D252" s="17" t="s">
        <v>419</v>
      </c>
      <c r="E252" s="17" t="s">
        <v>263</v>
      </c>
      <c r="F252" s="17" t="s">
        <v>599</v>
      </c>
      <c r="G252" s="18" t="s">
        <v>468</v>
      </c>
      <c r="H252" s="17" t="s">
        <v>13</v>
      </c>
      <c r="I252" s="29" t="s">
        <v>181</v>
      </c>
      <c r="J252" s="29" t="s">
        <v>181</v>
      </c>
    </row>
    <row r="253" spans="1:12" ht="32" x14ac:dyDescent="0.2">
      <c r="A253" s="16">
        <v>252</v>
      </c>
      <c r="B253" s="35">
        <v>43410</v>
      </c>
      <c r="C253" s="16">
        <v>19</v>
      </c>
      <c r="D253" s="17" t="s">
        <v>585</v>
      </c>
      <c r="E253" s="17" t="s">
        <v>600</v>
      </c>
      <c r="F253" s="17" t="s">
        <v>289</v>
      </c>
      <c r="G253" s="18" t="s">
        <v>601</v>
      </c>
      <c r="H253" s="17" t="s">
        <v>23</v>
      </c>
      <c r="I253" s="17" t="s">
        <v>14</v>
      </c>
      <c r="J253" s="21" t="s">
        <v>14</v>
      </c>
      <c r="K253" s="24"/>
      <c r="L253" s="25"/>
    </row>
    <row r="254" spans="1:12" ht="16" x14ac:dyDescent="0.2">
      <c r="A254" s="16">
        <v>253</v>
      </c>
      <c r="B254" s="35">
        <v>43411</v>
      </c>
      <c r="C254" s="16">
        <v>5</v>
      </c>
      <c r="D254" s="17" t="s">
        <v>164</v>
      </c>
      <c r="E254" s="17" t="s">
        <v>256</v>
      </c>
      <c r="F254" s="17" t="s">
        <v>602</v>
      </c>
      <c r="G254" s="18" t="s">
        <v>603</v>
      </c>
      <c r="H254" s="17" t="s">
        <v>13</v>
      </c>
      <c r="I254" s="17" t="s">
        <v>181</v>
      </c>
      <c r="J254" s="23" t="s">
        <v>181</v>
      </c>
    </row>
    <row r="255" spans="1:12" ht="16" x14ac:dyDescent="0.2">
      <c r="A255" s="16">
        <v>254</v>
      </c>
      <c r="B255" s="35">
        <v>43412</v>
      </c>
      <c r="C255" s="16">
        <v>1</v>
      </c>
      <c r="D255" s="17" t="s">
        <v>390</v>
      </c>
      <c r="E255" s="17" t="s">
        <v>202</v>
      </c>
      <c r="F255" s="17" t="s">
        <v>604</v>
      </c>
      <c r="G255" s="18" t="s">
        <v>605</v>
      </c>
      <c r="H255" s="17" t="s">
        <v>13</v>
      </c>
      <c r="I255" s="17" t="s">
        <v>14</v>
      </c>
      <c r="J255" s="17" t="s">
        <v>14</v>
      </c>
    </row>
    <row r="256" spans="1:12" ht="16" x14ac:dyDescent="0.2">
      <c r="A256" s="16">
        <v>255</v>
      </c>
      <c r="B256" s="35">
        <v>43412</v>
      </c>
      <c r="C256" s="16">
        <v>34</v>
      </c>
      <c r="D256" s="17" t="s">
        <v>355</v>
      </c>
      <c r="E256" s="17" t="s">
        <v>60</v>
      </c>
      <c r="F256" s="17" t="s">
        <v>17</v>
      </c>
      <c r="G256" s="18" t="s">
        <v>606</v>
      </c>
      <c r="H256" s="17" t="s">
        <v>13</v>
      </c>
      <c r="I256" s="17" t="s">
        <v>306</v>
      </c>
      <c r="J256" s="17" t="s">
        <v>14</v>
      </c>
    </row>
    <row r="257" spans="1:10" ht="16" x14ac:dyDescent="0.2">
      <c r="A257" s="16">
        <v>256</v>
      </c>
      <c r="B257" s="35">
        <v>43412</v>
      </c>
      <c r="C257" s="16">
        <v>47</v>
      </c>
      <c r="D257" s="17" t="s">
        <v>228</v>
      </c>
      <c r="E257" s="17" t="s">
        <v>607</v>
      </c>
      <c r="F257" s="17" t="s">
        <v>608</v>
      </c>
      <c r="G257" s="18" t="s">
        <v>609</v>
      </c>
      <c r="H257" s="17" t="s">
        <v>13</v>
      </c>
      <c r="I257" s="17" t="s">
        <v>543</v>
      </c>
      <c r="J257" s="17" t="s">
        <v>543</v>
      </c>
    </row>
    <row r="258" spans="1:10" ht="16" x14ac:dyDescent="0.2">
      <c r="A258" s="16">
        <v>257</v>
      </c>
      <c r="B258" s="35">
        <v>43416</v>
      </c>
      <c r="C258" s="16">
        <v>32</v>
      </c>
      <c r="D258" s="17" t="s">
        <v>39</v>
      </c>
      <c r="E258" s="17" t="s">
        <v>40</v>
      </c>
      <c r="F258" s="17" t="s">
        <v>41</v>
      </c>
      <c r="G258" s="18" t="s">
        <v>610</v>
      </c>
      <c r="H258" s="17" t="s">
        <v>13</v>
      </c>
      <c r="I258" s="17" t="s">
        <v>14</v>
      </c>
      <c r="J258" s="17" t="s">
        <v>14</v>
      </c>
    </row>
    <row r="259" spans="1:10" ht="16" x14ac:dyDescent="0.2">
      <c r="A259" s="16">
        <v>258</v>
      </c>
      <c r="B259" s="35">
        <v>43417</v>
      </c>
      <c r="C259" s="16">
        <v>7</v>
      </c>
      <c r="D259" s="17" t="s">
        <v>55</v>
      </c>
      <c r="E259" s="17" t="s">
        <v>428</v>
      </c>
      <c r="F259" s="17" t="s">
        <v>467</v>
      </c>
      <c r="G259" s="18" t="s">
        <v>611</v>
      </c>
      <c r="H259" s="17" t="s">
        <v>13</v>
      </c>
      <c r="I259" s="17" t="s">
        <v>181</v>
      </c>
      <c r="J259" s="17" t="s">
        <v>181</v>
      </c>
    </row>
    <row r="260" spans="1:10" ht="16" x14ac:dyDescent="0.2">
      <c r="A260" s="16">
        <v>259</v>
      </c>
      <c r="B260" s="35">
        <v>43409</v>
      </c>
      <c r="C260" s="16">
        <v>7</v>
      </c>
      <c r="D260" s="17" t="s">
        <v>55</v>
      </c>
      <c r="E260" s="17" t="s">
        <v>138</v>
      </c>
      <c r="F260" s="17" t="s">
        <v>612</v>
      </c>
      <c r="G260" s="18" t="s">
        <v>613</v>
      </c>
      <c r="H260" s="17" t="s">
        <v>119</v>
      </c>
      <c r="I260" s="17" t="s">
        <v>181</v>
      </c>
      <c r="J260" s="17" t="s">
        <v>181</v>
      </c>
    </row>
    <row r="261" spans="1:10" ht="16" x14ac:dyDescent="0.2">
      <c r="A261" s="16">
        <v>260</v>
      </c>
      <c r="B261" s="35">
        <v>43406</v>
      </c>
      <c r="C261" s="16">
        <v>37</v>
      </c>
      <c r="D261" s="17" t="s">
        <v>182</v>
      </c>
      <c r="E261" s="17" t="s">
        <v>466</v>
      </c>
      <c r="F261" s="17"/>
      <c r="G261" s="18" t="s">
        <v>614</v>
      </c>
      <c r="H261" s="17" t="s">
        <v>119</v>
      </c>
      <c r="I261" s="17" t="s">
        <v>181</v>
      </c>
      <c r="J261" s="17" t="s">
        <v>181</v>
      </c>
    </row>
    <row r="262" spans="1:10" ht="16" x14ac:dyDescent="0.2">
      <c r="A262" s="16">
        <v>261</v>
      </c>
      <c r="B262" s="35">
        <v>43409</v>
      </c>
      <c r="C262" s="16">
        <v>4</v>
      </c>
      <c r="D262" s="17" t="s">
        <v>168</v>
      </c>
      <c r="E262" s="17" t="s">
        <v>16</v>
      </c>
      <c r="F262" s="17" t="s">
        <v>169</v>
      </c>
      <c r="G262" s="18" t="s">
        <v>615</v>
      </c>
      <c r="H262" s="17" t="s">
        <v>119</v>
      </c>
      <c r="I262" s="17" t="s">
        <v>181</v>
      </c>
      <c r="J262" s="17" t="s">
        <v>181</v>
      </c>
    </row>
    <row r="263" spans="1:10" ht="16" x14ac:dyDescent="0.2">
      <c r="A263" s="16">
        <v>262</v>
      </c>
      <c r="B263" s="35">
        <v>43420</v>
      </c>
      <c r="C263" s="16">
        <v>9</v>
      </c>
      <c r="D263" s="17" t="s">
        <v>244</v>
      </c>
      <c r="E263" s="17" t="s">
        <v>358</v>
      </c>
      <c r="F263" s="17" t="s">
        <v>616</v>
      </c>
      <c r="G263" s="18" t="s">
        <v>294</v>
      </c>
      <c r="H263" s="17" t="s">
        <v>13</v>
      </c>
      <c r="I263" s="17" t="s">
        <v>181</v>
      </c>
      <c r="J263" s="17" t="s">
        <v>181</v>
      </c>
    </row>
    <row r="264" spans="1:10" ht="16" x14ac:dyDescent="0.2">
      <c r="A264" s="16">
        <v>263</v>
      </c>
      <c r="B264" s="35">
        <v>43423</v>
      </c>
      <c r="C264" s="16">
        <v>15</v>
      </c>
      <c r="D264" s="17" t="s">
        <v>398</v>
      </c>
      <c r="E264" s="17" t="s">
        <v>409</v>
      </c>
      <c r="F264" s="17"/>
      <c r="G264" s="18" t="s">
        <v>70</v>
      </c>
      <c r="H264" s="17" t="s">
        <v>23</v>
      </c>
      <c r="I264" s="17" t="s">
        <v>14</v>
      </c>
      <c r="J264" s="17" t="s">
        <v>14</v>
      </c>
    </row>
    <row r="265" spans="1:10" ht="16" x14ac:dyDescent="0.2">
      <c r="A265" s="16">
        <v>264</v>
      </c>
      <c r="B265" s="35">
        <v>43423</v>
      </c>
      <c r="C265" s="16">
        <v>22</v>
      </c>
      <c r="D265" s="17" t="s">
        <v>173</v>
      </c>
      <c r="E265" s="17" t="s">
        <v>129</v>
      </c>
      <c r="F265" s="17" t="s">
        <v>451</v>
      </c>
      <c r="G265" s="18" t="s">
        <v>617</v>
      </c>
      <c r="H265" s="17" t="s">
        <v>23</v>
      </c>
      <c r="I265" s="17" t="s">
        <v>14</v>
      </c>
      <c r="J265" s="17" t="s">
        <v>14</v>
      </c>
    </row>
    <row r="266" spans="1:10" ht="16" x14ac:dyDescent="0.2">
      <c r="A266" s="16">
        <v>265</v>
      </c>
      <c r="B266" s="35">
        <v>43423</v>
      </c>
      <c r="C266" s="16">
        <v>8</v>
      </c>
      <c r="D266" s="17" t="s">
        <v>500</v>
      </c>
      <c r="E266" s="17" t="s">
        <v>149</v>
      </c>
      <c r="F266" s="17" t="s">
        <v>618</v>
      </c>
      <c r="G266" s="18" t="s">
        <v>619</v>
      </c>
      <c r="H266" s="17" t="s">
        <v>119</v>
      </c>
      <c r="I266" s="58" t="s">
        <v>312</v>
      </c>
      <c r="J266" s="58" t="s">
        <v>312</v>
      </c>
    </row>
    <row r="267" spans="1:10" ht="16" x14ac:dyDescent="0.2">
      <c r="A267" s="16">
        <v>266</v>
      </c>
      <c r="B267" s="35">
        <v>43425</v>
      </c>
      <c r="C267" s="16">
        <v>34</v>
      </c>
      <c r="D267" s="17" t="s">
        <v>355</v>
      </c>
      <c r="E267" s="17" t="s">
        <v>60</v>
      </c>
      <c r="F267" s="17" t="s">
        <v>17</v>
      </c>
      <c r="G267" s="18" t="s">
        <v>620</v>
      </c>
      <c r="H267" s="17" t="s">
        <v>13</v>
      </c>
      <c r="I267" s="17" t="s">
        <v>19</v>
      </c>
      <c r="J267" s="17" t="s">
        <v>19</v>
      </c>
    </row>
    <row r="268" spans="1:10" ht="48" x14ac:dyDescent="0.2">
      <c r="A268" s="16">
        <v>267</v>
      </c>
      <c r="B268" s="35">
        <v>43425</v>
      </c>
      <c r="C268" s="16">
        <v>29</v>
      </c>
      <c r="D268" s="17" t="s">
        <v>98</v>
      </c>
      <c r="E268" s="17" t="s">
        <v>621</v>
      </c>
      <c r="F268" s="17" t="s">
        <v>622</v>
      </c>
      <c r="G268" s="18" t="s">
        <v>623</v>
      </c>
      <c r="H268" s="17" t="s">
        <v>58</v>
      </c>
      <c r="I268" s="17" t="s">
        <v>14</v>
      </c>
      <c r="J268" s="17"/>
    </row>
    <row r="269" spans="1:10" ht="16" x14ac:dyDescent="0.2">
      <c r="A269" s="16">
        <v>268</v>
      </c>
      <c r="B269" s="35">
        <v>43426</v>
      </c>
      <c r="C269" s="16">
        <v>20</v>
      </c>
      <c r="D269" s="17" t="s">
        <v>100</v>
      </c>
      <c r="E269" s="17" t="s">
        <v>480</v>
      </c>
      <c r="F269" s="17" t="s">
        <v>481</v>
      </c>
      <c r="G269" s="18" t="s">
        <v>624</v>
      </c>
      <c r="H269" s="17" t="s">
        <v>23</v>
      </c>
      <c r="I269" s="17" t="s">
        <v>14</v>
      </c>
      <c r="J269" s="17" t="s">
        <v>14</v>
      </c>
    </row>
    <row r="270" spans="1:10" ht="16" x14ac:dyDescent="0.2">
      <c r="A270" s="16">
        <v>269</v>
      </c>
      <c r="B270" s="35">
        <v>43430</v>
      </c>
      <c r="C270" s="16">
        <v>15</v>
      </c>
      <c r="D270" s="17" t="s">
        <v>398</v>
      </c>
      <c r="E270" s="17" t="s">
        <v>60</v>
      </c>
      <c r="F270" s="17" t="s">
        <v>505</v>
      </c>
      <c r="G270" s="18" t="s">
        <v>625</v>
      </c>
      <c r="H270" s="17" t="s">
        <v>13</v>
      </c>
      <c r="I270" s="17" t="s">
        <v>48</v>
      </c>
      <c r="J270" s="17" t="s">
        <v>48</v>
      </c>
    </row>
    <row r="271" spans="1:10" ht="16" x14ac:dyDescent="0.2">
      <c r="A271" s="16">
        <v>270</v>
      </c>
      <c r="B271" s="34">
        <v>43430</v>
      </c>
      <c r="C271" s="16">
        <v>3</v>
      </c>
      <c r="D271" s="17" t="s">
        <v>626</v>
      </c>
      <c r="E271" s="17" t="s">
        <v>627</v>
      </c>
      <c r="F271" s="17" t="s">
        <v>321</v>
      </c>
      <c r="G271" s="18" t="s">
        <v>628</v>
      </c>
      <c r="H271" s="17" t="s">
        <v>58</v>
      </c>
      <c r="I271" s="17" t="s">
        <v>14</v>
      </c>
      <c r="J271" s="17" t="s">
        <v>14</v>
      </c>
    </row>
    <row r="272" spans="1:10" ht="16" x14ac:dyDescent="0.2">
      <c r="A272" s="16">
        <v>271</v>
      </c>
      <c r="B272" s="35">
        <v>43431</v>
      </c>
      <c r="C272" s="16">
        <v>2</v>
      </c>
      <c r="D272" s="17" t="s">
        <v>597</v>
      </c>
      <c r="E272" s="17" t="s">
        <v>138</v>
      </c>
      <c r="F272" s="17" t="s">
        <v>17</v>
      </c>
      <c r="G272" s="18" t="s">
        <v>629</v>
      </c>
      <c r="H272" s="17" t="s">
        <v>13</v>
      </c>
      <c r="I272" s="17" t="s">
        <v>119</v>
      </c>
      <c r="J272" s="17" t="s">
        <v>119</v>
      </c>
    </row>
    <row r="273" spans="1:11" ht="16" x14ac:dyDescent="0.2">
      <c r="A273" s="16">
        <v>272</v>
      </c>
      <c r="B273" s="35">
        <v>43433</v>
      </c>
      <c r="C273" s="16">
        <v>17</v>
      </c>
      <c r="D273" s="17" t="s">
        <v>116</v>
      </c>
      <c r="E273" s="17" t="s">
        <v>630</v>
      </c>
      <c r="F273" s="17" t="s">
        <v>631</v>
      </c>
      <c r="G273" s="18" t="s">
        <v>632</v>
      </c>
      <c r="H273" s="17" t="s">
        <v>23</v>
      </c>
      <c r="I273" s="17" t="s">
        <v>14</v>
      </c>
      <c r="J273" s="17" t="s">
        <v>14</v>
      </c>
    </row>
    <row r="274" spans="1:11" ht="16" x14ac:dyDescent="0.2">
      <c r="A274" s="16">
        <v>273</v>
      </c>
      <c r="B274" s="35">
        <v>43434</v>
      </c>
      <c r="C274" s="16" t="s">
        <v>633</v>
      </c>
      <c r="D274" s="17" t="s">
        <v>634</v>
      </c>
      <c r="E274" s="17" t="s">
        <v>352</v>
      </c>
      <c r="F274" s="17"/>
      <c r="G274" s="18" t="s">
        <v>635</v>
      </c>
      <c r="H274" s="17" t="s">
        <v>13</v>
      </c>
      <c r="I274" s="21" t="s">
        <v>76</v>
      </c>
      <c r="J274" s="21"/>
      <c r="K274" s="26"/>
    </row>
    <row r="275" spans="1:11" ht="16" x14ac:dyDescent="0.2">
      <c r="A275" s="16">
        <v>274</v>
      </c>
      <c r="B275" s="35">
        <v>43437</v>
      </c>
      <c r="C275" s="16">
        <v>16</v>
      </c>
      <c r="D275" s="17" t="s">
        <v>636</v>
      </c>
      <c r="E275" s="17" t="s">
        <v>428</v>
      </c>
      <c r="F275" s="17" t="s">
        <v>637</v>
      </c>
      <c r="G275" s="18" t="s">
        <v>638</v>
      </c>
      <c r="H275" s="17" t="s">
        <v>13</v>
      </c>
      <c r="I275" s="17" t="s">
        <v>181</v>
      </c>
      <c r="J275" s="17" t="s">
        <v>181</v>
      </c>
    </row>
    <row r="276" spans="1:11" ht="16" x14ac:dyDescent="0.2">
      <c r="A276" s="16">
        <v>275</v>
      </c>
      <c r="B276" s="35">
        <v>43438</v>
      </c>
      <c r="C276" s="16">
        <v>47</v>
      </c>
      <c r="D276" s="17" t="s">
        <v>228</v>
      </c>
      <c r="E276" s="17" t="s">
        <v>138</v>
      </c>
      <c r="F276" s="17" t="s">
        <v>261</v>
      </c>
      <c r="G276" s="18" t="s">
        <v>639</v>
      </c>
      <c r="H276" s="17" t="s">
        <v>58</v>
      </c>
      <c r="I276" s="17" t="s">
        <v>14</v>
      </c>
      <c r="J276" s="17" t="s">
        <v>114</v>
      </c>
    </row>
    <row r="277" spans="1:11" ht="16" x14ac:dyDescent="0.2">
      <c r="A277" s="16">
        <v>276</v>
      </c>
      <c r="B277" s="35">
        <v>43439</v>
      </c>
      <c r="C277" s="16">
        <v>46</v>
      </c>
      <c r="D277" s="17" t="s">
        <v>640</v>
      </c>
      <c r="E277" s="17" t="s">
        <v>16</v>
      </c>
      <c r="F277" s="17" t="s">
        <v>641</v>
      </c>
      <c r="G277" s="18" t="s">
        <v>642</v>
      </c>
      <c r="H277" s="17" t="s">
        <v>13</v>
      </c>
      <c r="I277" s="17" t="s">
        <v>14</v>
      </c>
      <c r="J277" s="17" t="s">
        <v>14</v>
      </c>
    </row>
    <row r="278" spans="1:11" ht="16" x14ac:dyDescent="0.2">
      <c r="A278" s="16">
        <v>277</v>
      </c>
      <c r="B278" s="35">
        <v>43440</v>
      </c>
      <c r="C278" s="16">
        <v>12</v>
      </c>
      <c r="D278" s="17" t="s">
        <v>89</v>
      </c>
      <c r="E278" s="17" t="s">
        <v>643</v>
      </c>
      <c r="F278" s="17" t="s">
        <v>644</v>
      </c>
      <c r="G278" s="18" t="s">
        <v>645</v>
      </c>
      <c r="H278" s="17" t="s">
        <v>463</v>
      </c>
      <c r="I278" s="17" t="s">
        <v>14</v>
      </c>
      <c r="J278" s="17"/>
    </row>
    <row r="279" spans="1:11" ht="16" x14ac:dyDescent="0.2">
      <c r="A279" s="16">
        <v>278</v>
      </c>
      <c r="B279" s="35">
        <v>43424</v>
      </c>
      <c r="C279" s="16">
        <v>37</v>
      </c>
      <c r="D279" s="17" t="s">
        <v>646</v>
      </c>
      <c r="E279" s="17" t="s">
        <v>86</v>
      </c>
      <c r="F279" s="17" t="s">
        <v>302</v>
      </c>
      <c r="G279" s="18" t="s">
        <v>647</v>
      </c>
      <c r="H279" s="17" t="s">
        <v>119</v>
      </c>
      <c r="I279" s="23" t="s">
        <v>181</v>
      </c>
      <c r="J279" s="17" t="s">
        <v>181</v>
      </c>
    </row>
    <row r="280" spans="1:11" ht="14.25" customHeight="1" x14ac:dyDescent="0.2">
      <c r="A280" s="16">
        <v>289</v>
      </c>
      <c r="B280" s="35">
        <v>43444</v>
      </c>
      <c r="C280" s="16">
        <v>18</v>
      </c>
      <c r="D280" s="17" t="s">
        <v>437</v>
      </c>
      <c r="E280" s="17" t="s">
        <v>648</v>
      </c>
      <c r="F280" s="17"/>
      <c r="G280" s="18" t="s">
        <v>649</v>
      </c>
      <c r="H280" s="17" t="s">
        <v>23</v>
      </c>
      <c r="I280" s="17" t="s">
        <v>14</v>
      </c>
      <c r="J280" s="20" t="s">
        <v>14</v>
      </c>
    </row>
    <row r="281" spans="1:11" ht="16" x14ac:dyDescent="0.2">
      <c r="A281" s="16">
        <v>290</v>
      </c>
      <c r="B281" s="35">
        <v>43444</v>
      </c>
      <c r="C281" s="16">
        <v>43</v>
      </c>
      <c r="D281" s="17" t="s">
        <v>417</v>
      </c>
      <c r="E281" s="17" t="s">
        <v>358</v>
      </c>
      <c r="F281" s="17" t="s">
        <v>650</v>
      </c>
      <c r="G281" s="18" t="s">
        <v>651</v>
      </c>
      <c r="H281" s="17" t="s">
        <v>13</v>
      </c>
      <c r="I281" s="17" t="s">
        <v>543</v>
      </c>
      <c r="J281" s="17" t="s">
        <v>543</v>
      </c>
    </row>
    <row r="282" spans="1:11" ht="16" x14ac:dyDescent="0.2">
      <c r="A282" s="16">
        <v>291</v>
      </c>
      <c r="B282" s="35">
        <v>43446</v>
      </c>
      <c r="C282" s="16">
        <v>1</v>
      </c>
      <c r="D282" s="17" t="s">
        <v>390</v>
      </c>
      <c r="E282" s="17" t="s">
        <v>32</v>
      </c>
      <c r="F282" s="17" t="s">
        <v>652</v>
      </c>
      <c r="G282" s="18" t="s">
        <v>653</v>
      </c>
      <c r="H282" s="17" t="s">
        <v>13</v>
      </c>
      <c r="I282" s="17" t="s">
        <v>19</v>
      </c>
      <c r="J282" s="17"/>
    </row>
    <row r="283" spans="1:11" ht="16" x14ac:dyDescent="0.2">
      <c r="A283" s="16">
        <v>292</v>
      </c>
      <c r="B283" s="35">
        <v>43446</v>
      </c>
      <c r="C283" s="16">
        <v>29</v>
      </c>
      <c r="D283" s="17" t="s">
        <v>98</v>
      </c>
      <c r="E283" s="17" t="s">
        <v>654</v>
      </c>
      <c r="F283" s="17"/>
      <c r="G283" s="18" t="s">
        <v>655</v>
      </c>
      <c r="H283" s="17" t="s">
        <v>13</v>
      </c>
      <c r="I283" s="17" t="s">
        <v>656</v>
      </c>
      <c r="J283" s="21"/>
    </row>
    <row r="284" spans="1:11" ht="16" x14ac:dyDescent="0.2">
      <c r="A284" s="16">
        <v>293</v>
      </c>
      <c r="B284" s="35">
        <v>43447</v>
      </c>
      <c r="C284" s="16">
        <v>5</v>
      </c>
      <c r="D284" s="17" t="s">
        <v>164</v>
      </c>
      <c r="E284" s="17" t="s">
        <v>657</v>
      </c>
      <c r="F284" s="17"/>
      <c r="G284" s="18" t="s">
        <v>658</v>
      </c>
      <c r="H284" s="17" t="s">
        <v>13</v>
      </c>
      <c r="I284" s="17" t="s">
        <v>167</v>
      </c>
      <c r="J284" s="17" t="s">
        <v>167</v>
      </c>
    </row>
    <row r="285" spans="1:11" ht="16" x14ac:dyDescent="0.2">
      <c r="A285" s="16">
        <v>294</v>
      </c>
      <c r="B285" s="35">
        <v>43447</v>
      </c>
      <c r="C285" s="16">
        <v>46</v>
      </c>
      <c r="D285" s="17" t="s">
        <v>268</v>
      </c>
      <c r="E285" s="17" t="s">
        <v>101</v>
      </c>
      <c r="F285" s="17" t="s">
        <v>17</v>
      </c>
      <c r="G285" s="18" t="s">
        <v>61</v>
      </c>
      <c r="H285" s="17" t="s">
        <v>23</v>
      </c>
      <c r="I285" s="21" t="s">
        <v>14</v>
      </c>
      <c r="J285" s="21" t="s">
        <v>14</v>
      </c>
      <c r="K285" s="43"/>
    </row>
    <row r="286" spans="1:11" ht="16" x14ac:dyDescent="0.2">
      <c r="A286" s="16">
        <v>295</v>
      </c>
      <c r="B286" s="35">
        <v>43448</v>
      </c>
      <c r="C286" s="16">
        <v>21</v>
      </c>
      <c r="D286" s="17" t="s">
        <v>31</v>
      </c>
      <c r="E286" s="17" t="s">
        <v>32</v>
      </c>
      <c r="F286" s="17" t="s">
        <v>33</v>
      </c>
      <c r="G286" s="18" t="s">
        <v>659</v>
      </c>
      <c r="H286" s="17" t="s">
        <v>13</v>
      </c>
      <c r="I286" s="17" t="s">
        <v>19</v>
      </c>
      <c r="J286" s="17"/>
    </row>
    <row r="287" spans="1:11" ht="16" x14ac:dyDescent="0.2">
      <c r="A287" s="16">
        <v>296</v>
      </c>
      <c r="B287" s="35">
        <v>43451</v>
      </c>
      <c r="C287" s="16">
        <v>18</v>
      </c>
      <c r="D287" s="17" t="s">
        <v>437</v>
      </c>
      <c r="E287" s="17" t="s">
        <v>46</v>
      </c>
      <c r="F287" s="17" t="s">
        <v>660</v>
      </c>
      <c r="G287" s="18" t="s">
        <v>61</v>
      </c>
      <c r="H287" s="17" t="s">
        <v>23</v>
      </c>
      <c r="I287" s="17" t="s">
        <v>14</v>
      </c>
      <c r="J287" s="17" t="s">
        <v>14</v>
      </c>
      <c r="K287" s="24"/>
    </row>
    <row r="288" spans="1:11" ht="16" x14ac:dyDescent="0.2">
      <c r="A288" s="16">
        <v>297</v>
      </c>
      <c r="B288" s="35">
        <v>43452</v>
      </c>
      <c r="C288" s="16" t="s">
        <v>661</v>
      </c>
      <c r="D288" s="17" t="s">
        <v>662</v>
      </c>
      <c r="E288" s="17" t="s">
        <v>538</v>
      </c>
      <c r="F288" s="17"/>
      <c r="G288" s="18" t="s">
        <v>663</v>
      </c>
      <c r="H288" s="17" t="s">
        <v>23</v>
      </c>
      <c r="I288" s="17" t="s">
        <v>540</v>
      </c>
      <c r="J288" s="21" t="s">
        <v>664</v>
      </c>
    </row>
    <row r="289" spans="1:11" ht="16" x14ac:dyDescent="0.2">
      <c r="A289" s="16">
        <v>298</v>
      </c>
      <c r="B289" s="35">
        <v>43453</v>
      </c>
      <c r="C289" s="16">
        <v>29</v>
      </c>
      <c r="D289" s="17" t="s">
        <v>98</v>
      </c>
      <c r="E289" s="17" t="s">
        <v>665</v>
      </c>
      <c r="F289" s="17" t="s">
        <v>666</v>
      </c>
      <c r="G289" s="18" t="s">
        <v>667</v>
      </c>
      <c r="H289" s="17" t="s">
        <v>13</v>
      </c>
      <c r="I289" s="57" t="s">
        <v>423</v>
      </c>
      <c r="J289" s="21"/>
      <c r="K289" s="24"/>
    </row>
    <row r="290" spans="1:11" ht="16" x14ac:dyDescent="0.2">
      <c r="A290" s="16">
        <v>299</v>
      </c>
      <c r="B290" s="35">
        <v>43455</v>
      </c>
      <c r="C290" s="16">
        <v>1</v>
      </c>
      <c r="D290" s="17" t="s">
        <v>390</v>
      </c>
      <c r="E290" s="17" t="s">
        <v>263</v>
      </c>
      <c r="F290" s="17"/>
      <c r="G290" s="18" t="s">
        <v>668</v>
      </c>
      <c r="H290" s="17" t="s">
        <v>13</v>
      </c>
      <c r="I290" s="29" t="s">
        <v>312</v>
      </c>
      <c r="J290" s="29" t="s">
        <v>312</v>
      </c>
      <c r="K290" s="24"/>
    </row>
    <row r="291" spans="1:11" ht="16" x14ac:dyDescent="0.2">
      <c r="A291" s="16">
        <v>300</v>
      </c>
      <c r="B291" s="35">
        <v>43455</v>
      </c>
      <c r="C291" s="16">
        <v>8</v>
      </c>
      <c r="D291" s="17" t="s">
        <v>669</v>
      </c>
      <c r="E291" s="17" t="s">
        <v>129</v>
      </c>
      <c r="F291" s="17" t="s">
        <v>190</v>
      </c>
      <c r="G291" s="18" t="s">
        <v>369</v>
      </c>
      <c r="H291" s="17" t="s">
        <v>13</v>
      </c>
      <c r="I291" s="17" t="s">
        <v>48</v>
      </c>
      <c r="J291" s="17" t="s">
        <v>48</v>
      </c>
    </row>
    <row r="292" spans="1:11" ht="16" x14ac:dyDescent="0.2">
      <c r="A292" s="16">
        <v>1</v>
      </c>
      <c r="B292" s="34">
        <v>43472</v>
      </c>
      <c r="C292" s="16">
        <v>41</v>
      </c>
      <c r="D292" s="17" t="s">
        <v>26</v>
      </c>
      <c r="E292" s="17" t="s">
        <v>670</v>
      </c>
      <c r="F292" s="17" t="s">
        <v>495</v>
      </c>
      <c r="G292" s="18" t="s">
        <v>671</v>
      </c>
      <c r="H292" s="17" t="s">
        <v>23</v>
      </c>
      <c r="I292" s="57" t="s">
        <v>14</v>
      </c>
      <c r="J292" s="21" t="s">
        <v>14</v>
      </c>
    </row>
    <row r="293" spans="1:11" ht="16" x14ac:dyDescent="0.2">
      <c r="A293" s="16">
        <v>2</v>
      </c>
      <c r="B293" s="34">
        <v>43472</v>
      </c>
      <c r="C293" s="16">
        <v>39</v>
      </c>
      <c r="D293" s="17" t="s">
        <v>152</v>
      </c>
      <c r="E293" s="17" t="s">
        <v>467</v>
      </c>
      <c r="F293" s="17" t="s">
        <v>17</v>
      </c>
      <c r="G293" s="18" t="s">
        <v>672</v>
      </c>
      <c r="H293" s="17" t="s">
        <v>13</v>
      </c>
      <c r="I293" s="29" t="s">
        <v>119</v>
      </c>
      <c r="J293" s="29" t="s">
        <v>252</v>
      </c>
      <c r="K293" s="24"/>
    </row>
    <row r="294" spans="1:11" ht="16" x14ac:dyDescent="0.2">
      <c r="A294" s="16">
        <v>3</v>
      </c>
      <c r="B294" s="34">
        <v>43473</v>
      </c>
      <c r="C294" s="16">
        <v>19</v>
      </c>
      <c r="D294" s="17" t="s">
        <v>35</v>
      </c>
      <c r="E294" s="31">
        <v>14</v>
      </c>
      <c r="F294" s="17" t="s">
        <v>673</v>
      </c>
      <c r="G294" s="18" t="s">
        <v>674</v>
      </c>
      <c r="H294" s="17" t="s">
        <v>13</v>
      </c>
      <c r="I294" s="17" t="s">
        <v>14</v>
      </c>
      <c r="J294" s="20" t="s">
        <v>14</v>
      </c>
      <c r="K294" s="24"/>
    </row>
    <row r="295" spans="1:11" ht="16" x14ac:dyDescent="0.2">
      <c r="A295" s="16">
        <v>4</v>
      </c>
      <c r="B295" s="34">
        <v>43473</v>
      </c>
      <c r="C295" s="16">
        <v>29</v>
      </c>
      <c r="D295" s="17" t="s">
        <v>675</v>
      </c>
      <c r="E295" s="17" t="s">
        <v>16</v>
      </c>
      <c r="F295" s="17" t="s">
        <v>666</v>
      </c>
      <c r="G295" s="18" t="s">
        <v>676</v>
      </c>
      <c r="H295" s="17" t="s">
        <v>13</v>
      </c>
      <c r="I295" s="21" t="s">
        <v>543</v>
      </c>
      <c r="J295" s="21"/>
      <c r="K295" s="24"/>
    </row>
    <row r="296" spans="1:11" ht="16" x14ac:dyDescent="0.2">
      <c r="A296" s="16">
        <v>5</v>
      </c>
      <c r="B296" s="34">
        <v>43473</v>
      </c>
      <c r="C296" s="16">
        <v>29</v>
      </c>
      <c r="D296" s="17" t="s">
        <v>675</v>
      </c>
      <c r="E296" s="17" t="s">
        <v>16</v>
      </c>
      <c r="F296" s="17" t="s">
        <v>666</v>
      </c>
      <c r="G296" s="18" t="s">
        <v>369</v>
      </c>
      <c r="H296" s="17" t="s">
        <v>13</v>
      </c>
      <c r="I296" s="17" t="s">
        <v>30</v>
      </c>
      <c r="J296" s="69"/>
      <c r="K296" s="24"/>
    </row>
    <row r="297" spans="1:11" ht="16" x14ac:dyDescent="0.2">
      <c r="A297" s="16">
        <v>6</v>
      </c>
      <c r="B297" s="34">
        <v>43473</v>
      </c>
      <c r="C297" s="16">
        <v>44</v>
      </c>
      <c r="D297" s="17" t="s">
        <v>75</v>
      </c>
      <c r="E297" s="17" t="s">
        <v>10</v>
      </c>
      <c r="F297" s="17" t="s">
        <v>677</v>
      </c>
      <c r="G297" s="18" t="s">
        <v>290</v>
      </c>
      <c r="H297" s="17" t="s">
        <v>13</v>
      </c>
      <c r="I297" s="21" t="s">
        <v>14</v>
      </c>
      <c r="J297" s="21" t="s">
        <v>14</v>
      </c>
    </row>
    <row r="298" spans="1:11" ht="16" x14ac:dyDescent="0.2">
      <c r="A298" s="16">
        <v>7</v>
      </c>
      <c r="B298" s="34">
        <v>43473</v>
      </c>
      <c r="C298" s="16">
        <v>46</v>
      </c>
      <c r="D298" s="17" t="s">
        <v>573</v>
      </c>
      <c r="E298" s="17" t="s">
        <v>670</v>
      </c>
      <c r="F298" s="17" t="s">
        <v>518</v>
      </c>
      <c r="G298" s="18" t="s">
        <v>678</v>
      </c>
      <c r="H298" s="17" t="s">
        <v>23</v>
      </c>
      <c r="I298" s="17" t="s">
        <v>14</v>
      </c>
      <c r="J298" s="69" t="s">
        <v>14</v>
      </c>
      <c r="K298" s="24"/>
    </row>
    <row r="299" spans="1:11" ht="16" x14ac:dyDescent="0.2">
      <c r="A299" s="16">
        <v>8</v>
      </c>
      <c r="B299" s="34">
        <v>43473</v>
      </c>
      <c r="C299" s="16">
        <v>4</v>
      </c>
      <c r="D299" s="17" t="s">
        <v>679</v>
      </c>
      <c r="E299" s="17" t="s">
        <v>36</v>
      </c>
      <c r="F299" s="17"/>
      <c r="G299" s="18" t="s">
        <v>680</v>
      </c>
      <c r="H299" s="17" t="s">
        <v>13</v>
      </c>
      <c r="I299" s="17" t="s">
        <v>119</v>
      </c>
      <c r="J299" s="20" t="s">
        <v>119</v>
      </c>
      <c r="K299" s="24"/>
    </row>
    <row r="300" spans="1:11" ht="16" x14ac:dyDescent="0.2">
      <c r="A300" s="16">
        <v>9</v>
      </c>
      <c r="B300" s="34">
        <v>43474</v>
      </c>
      <c r="C300" s="16">
        <v>20</v>
      </c>
      <c r="D300" s="17" t="s">
        <v>681</v>
      </c>
      <c r="E300" s="17" t="s">
        <v>657</v>
      </c>
      <c r="F300" s="17"/>
      <c r="G300" s="18" t="s">
        <v>682</v>
      </c>
      <c r="H300" s="17" t="s">
        <v>13</v>
      </c>
      <c r="I300" s="67" t="s">
        <v>683</v>
      </c>
      <c r="J300" s="22"/>
      <c r="K300" s="24"/>
    </row>
    <row r="301" spans="1:11" ht="16" x14ac:dyDescent="0.2">
      <c r="A301" s="16">
        <v>10</v>
      </c>
      <c r="B301" s="34">
        <v>43474</v>
      </c>
      <c r="C301" s="16">
        <v>34</v>
      </c>
      <c r="D301" s="17" t="s">
        <v>684</v>
      </c>
      <c r="E301" s="17" t="s">
        <v>685</v>
      </c>
      <c r="F301" s="17" t="s">
        <v>686</v>
      </c>
      <c r="G301" s="18" t="s">
        <v>687</v>
      </c>
      <c r="H301" s="17" t="s">
        <v>58</v>
      </c>
      <c r="I301" s="23" t="s">
        <v>14</v>
      </c>
      <c r="J301" s="23" t="s">
        <v>14</v>
      </c>
      <c r="K301" s="24"/>
    </row>
    <row r="302" spans="1:11" ht="16" x14ac:dyDescent="0.2">
      <c r="A302" s="16">
        <v>11</v>
      </c>
      <c r="B302" s="34">
        <v>43474</v>
      </c>
      <c r="C302" s="16">
        <v>11</v>
      </c>
      <c r="D302" s="17" t="s">
        <v>688</v>
      </c>
      <c r="E302" s="17" t="s">
        <v>269</v>
      </c>
      <c r="F302" s="17" t="s">
        <v>302</v>
      </c>
      <c r="G302" s="18" t="s">
        <v>176</v>
      </c>
      <c r="H302" s="17" t="s">
        <v>479</v>
      </c>
      <c r="I302" s="17" t="s">
        <v>14</v>
      </c>
      <c r="J302" s="20" t="s">
        <v>14</v>
      </c>
      <c r="K302" s="24"/>
    </row>
    <row r="303" spans="1:11" ht="16" x14ac:dyDescent="0.2">
      <c r="A303" s="16">
        <v>12</v>
      </c>
      <c r="B303" s="34">
        <v>43475</v>
      </c>
      <c r="C303" s="16">
        <v>47</v>
      </c>
      <c r="D303" s="17" t="s">
        <v>689</v>
      </c>
      <c r="E303" s="17" t="s">
        <v>467</v>
      </c>
      <c r="F303" s="17" t="s">
        <v>690</v>
      </c>
      <c r="G303" s="18" t="s">
        <v>691</v>
      </c>
      <c r="H303" s="17" t="s">
        <v>13</v>
      </c>
      <c r="I303" s="17" t="s">
        <v>543</v>
      </c>
      <c r="J303" s="23"/>
      <c r="K303" s="24"/>
    </row>
    <row r="304" spans="1:11" ht="16" x14ac:dyDescent="0.2">
      <c r="A304" s="16">
        <v>13</v>
      </c>
      <c r="B304" s="34">
        <v>43475</v>
      </c>
      <c r="C304" s="16">
        <v>6</v>
      </c>
      <c r="D304" s="17" t="s">
        <v>692</v>
      </c>
      <c r="E304" s="17" t="s">
        <v>693</v>
      </c>
      <c r="F304" s="17" t="s">
        <v>589</v>
      </c>
      <c r="G304" s="18" t="s">
        <v>694</v>
      </c>
      <c r="H304" s="17" t="s">
        <v>13</v>
      </c>
      <c r="I304" s="17" t="s">
        <v>306</v>
      </c>
      <c r="J304" s="20" t="s">
        <v>119</v>
      </c>
      <c r="K304" s="24"/>
    </row>
    <row r="305" spans="1:11" ht="16" x14ac:dyDescent="0.2">
      <c r="A305" s="16">
        <v>14</v>
      </c>
      <c r="B305" s="34">
        <v>43475</v>
      </c>
      <c r="C305" s="16">
        <v>5</v>
      </c>
      <c r="D305" s="17" t="s">
        <v>695</v>
      </c>
      <c r="E305" s="17" t="s">
        <v>693</v>
      </c>
      <c r="F305" s="17" t="s">
        <v>602</v>
      </c>
      <c r="G305" s="18" t="s">
        <v>696</v>
      </c>
      <c r="H305" s="17" t="s">
        <v>13</v>
      </c>
      <c r="I305" s="67" t="s">
        <v>181</v>
      </c>
      <c r="J305" s="22" t="s">
        <v>181</v>
      </c>
      <c r="K305" s="24"/>
    </row>
    <row r="306" spans="1:11" ht="16" x14ac:dyDescent="0.2">
      <c r="A306" s="16">
        <v>15</v>
      </c>
      <c r="B306" s="34">
        <v>43475</v>
      </c>
      <c r="C306" s="16">
        <v>34</v>
      </c>
      <c r="D306" s="17" t="s">
        <v>355</v>
      </c>
      <c r="E306" s="17" t="s">
        <v>467</v>
      </c>
      <c r="F306" s="17" t="s">
        <v>17</v>
      </c>
      <c r="G306" s="18" t="s">
        <v>697</v>
      </c>
      <c r="H306" s="17" t="s">
        <v>13</v>
      </c>
      <c r="I306" s="23" t="s">
        <v>14</v>
      </c>
      <c r="J306" s="23" t="s">
        <v>14</v>
      </c>
      <c r="K306" s="24"/>
    </row>
    <row r="307" spans="1:11" ht="16" x14ac:dyDescent="0.2">
      <c r="A307" s="16">
        <v>16</v>
      </c>
      <c r="B307" s="34">
        <v>43475</v>
      </c>
      <c r="C307" s="16">
        <v>9</v>
      </c>
      <c r="D307" s="17" t="s">
        <v>698</v>
      </c>
      <c r="E307" s="17" t="s">
        <v>699</v>
      </c>
      <c r="F307" s="17" t="s">
        <v>700</v>
      </c>
      <c r="G307" s="18" t="s">
        <v>701</v>
      </c>
      <c r="H307" s="17" t="s">
        <v>58</v>
      </c>
      <c r="I307" s="17" t="s">
        <v>48</v>
      </c>
      <c r="J307" s="20" t="s">
        <v>702</v>
      </c>
      <c r="K307" s="24"/>
    </row>
    <row r="308" spans="1:11" ht="32" x14ac:dyDescent="0.2">
      <c r="A308" s="16">
        <v>17</v>
      </c>
      <c r="B308" s="34">
        <v>43475</v>
      </c>
      <c r="C308" s="16">
        <v>8</v>
      </c>
      <c r="D308" s="17" t="s">
        <v>544</v>
      </c>
      <c r="E308" s="17" t="s">
        <v>637</v>
      </c>
      <c r="F308" s="17" t="s">
        <v>190</v>
      </c>
      <c r="G308" s="18" t="s">
        <v>703</v>
      </c>
      <c r="H308" s="17" t="s">
        <v>58</v>
      </c>
      <c r="I308" s="67" t="s">
        <v>48</v>
      </c>
      <c r="J308" s="67" t="s">
        <v>48</v>
      </c>
    </row>
    <row r="309" spans="1:11" ht="32" x14ac:dyDescent="0.2">
      <c r="A309" s="16">
        <v>18</v>
      </c>
      <c r="B309" s="34">
        <v>43475</v>
      </c>
      <c r="C309" s="16"/>
      <c r="D309" s="17" t="s">
        <v>544</v>
      </c>
      <c r="E309" s="17" t="s">
        <v>637</v>
      </c>
      <c r="F309" s="17" t="s">
        <v>190</v>
      </c>
      <c r="G309" s="18" t="s">
        <v>704</v>
      </c>
      <c r="H309" s="17" t="s">
        <v>58</v>
      </c>
      <c r="I309" s="23" t="s">
        <v>181</v>
      </c>
      <c r="J309" s="23" t="s">
        <v>252</v>
      </c>
      <c r="K309" s="24"/>
    </row>
    <row r="310" spans="1:11" ht="16" x14ac:dyDescent="0.2">
      <c r="A310" s="16">
        <v>19</v>
      </c>
      <c r="B310" s="34">
        <v>43479</v>
      </c>
      <c r="C310" s="16">
        <v>46</v>
      </c>
      <c r="D310" s="17" t="s">
        <v>640</v>
      </c>
      <c r="E310" s="17" t="s">
        <v>10</v>
      </c>
      <c r="F310" s="17" t="s">
        <v>17</v>
      </c>
      <c r="G310" s="18" t="s">
        <v>61</v>
      </c>
      <c r="H310" s="17" t="s">
        <v>13</v>
      </c>
      <c r="I310" s="17" t="s">
        <v>14</v>
      </c>
      <c r="J310" s="20"/>
    </row>
    <row r="311" spans="1:11" ht="16" x14ac:dyDescent="0.2">
      <c r="A311" s="16">
        <v>20</v>
      </c>
      <c r="B311" s="34">
        <v>43479</v>
      </c>
      <c r="C311" s="16">
        <v>39</v>
      </c>
      <c r="D311" s="17" t="s">
        <v>152</v>
      </c>
      <c r="E311" s="17" t="s">
        <v>43</v>
      </c>
      <c r="F311" s="17"/>
      <c r="G311" s="18" t="s">
        <v>705</v>
      </c>
      <c r="H311" s="17" t="s">
        <v>13</v>
      </c>
      <c r="I311" s="21" t="s">
        <v>706</v>
      </c>
      <c r="J311" s="21" t="s">
        <v>706</v>
      </c>
    </row>
    <row r="312" spans="1:11" ht="16" x14ac:dyDescent="0.2">
      <c r="A312" s="16">
        <v>21</v>
      </c>
      <c r="B312" s="34">
        <v>43479</v>
      </c>
      <c r="C312" s="16">
        <v>46</v>
      </c>
      <c r="D312" s="17" t="s">
        <v>640</v>
      </c>
      <c r="E312" s="17" t="s">
        <v>43</v>
      </c>
      <c r="F312" s="17"/>
      <c r="G312" s="18" t="s">
        <v>707</v>
      </c>
      <c r="H312" s="17" t="s">
        <v>13</v>
      </c>
      <c r="I312" s="21" t="s">
        <v>706</v>
      </c>
      <c r="J312" s="21" t="s">
        <v>706</v>
      </c>
    </row>
    <row r="313" spans="1:11" ht="16" x14ac:dyDescent="0.2">
      <c r="A313" s="16">
        <v>22</v>
      </c>
      <c r="B313" s="34">
        <v>43479</v>
      </c>
      <c r="C313" s="16">
        <v>10</v>
      </c>
      <c r="D313" s="17" t="s">
        <v>708</v>
      </c>
      <c r="E313" s="17" t="s">
        <v>709</v>
      </c>
      <c r="F313" s="17" t="s">
        <v>710</v>
      </c>
      <c r="G313" s="18" t="s">
        <v>61</v>
      </c>
      <c r="H313" s="17" t="s">
        <v>58</v>
      </c>
      <c r="I313" s="17" t="s">
        <v>14</v>
      </c>
      <c r="J313" s="20" t="s">
        <v>14</v>
      </c>
    </row>
    <row r="314" spans="1:11" ht="16" x14ac:dyDescent="0.2">
      <c r="A314" s="16">
        <v>23</v>
      </c>
      <c r="B314" s="34">
        <v>43479</v>
      </c>
      <c r="C314" s="16">
        <v>1</v>
      </c>
      <c r="D314" s="17" t="s">
        <v>711</v>
      </c>
      <c r="E314" s="17" t="s">
        <v>712</v>
      </c>
      <c r="F314" s="17" t="s">
        <v>713</v>
      </c>
      <c r="G314" s="18" t="s">
        <v>714</v>
      </c>
      <c r="H314" s="17" t="s">
        <v>23</v>
      </c>
      <c r="I314" s="17" t="s">
        <v>14</v>
      </c>
      <c r="J314" s="22"/>
    </row>
    <row r="315" spans="1:11" ht="16" x14ac:dyDescent="0.2">
      <c r="A315" s="16">
        <v>24</v>
      </c>
      <c r="B315" s="34">
        <v>43479</v>
      </c>
      <c r="C315" s="16">
        <v>19</v>
      </c>
      <c r="D315" s="17" t="s">
        <v>715</v>
      </c>
      <c r="E315" s="17" t="s">
        <v>716</v>
      </c>
      <c r="F315" s="17" t="s">
        <v>717</v>
      </c>
      <c r="G315" s="18" t="s">
        <v>718</v>
      </c>
      <c r="H315" s="17" t="s">
        <v>463</v>
      </c>
      <c r="I315" s="67" t="s">
        <v>14</v>
      </c>
      <c r="J315" s="22" t="s">
        <v>719</v>
      </c>
    </row>
    <row r="316" spans="1:11" ht="16" x14ac:dyDescent="0.2">
      <c r="A316" s="16">
        <v>25</v>
      </c>
      <c r="B316" s="34">
        <v>43480</v>
      </c>
      <c r="C316" s="16">
        <v>47</v>
      </c>
      <c r="D316" s="17" t="s">
        <v>689</v>
      </c>
      <c r="E316" s="17" t="s">
        <v>358</v>
      </c>
      <c r="F316" s="17" t="s">
        <v>720</v>
      </c>
      <c r="G316" s="18" t="s">
        <v>721</v>
      </c>
      <c r="H316" s="17" t="s">
        <v>13</v>
      </c>
      <c r="I316" s="23" t="s">
        <v>30</v>
      </c>
      <c r="J316" s="23" t="s">
        <v>30</v>
      </c>
    </row>
    <row r="317" spans="1:11" ht="16" x14ac:dyDescent="0.2">
      <c r="A317" s="16">
        <v>26</v>
      </c>
      <c r="B317" s="34">
        <v>43480</v>
      </c>
      <c r="C317" s="16">
        <v>39</v>
      </c>
      <c r="D317" s="17" t="s">
        <v>152</v>
      </c>
      <c r="E317" s="17" t="s">
        <v>467</v>
      </c>
      <c r="F317" s="17" t="s">
        <v>17</v>
      </c>
      <c r="G317" s="18" t="s">
        <v>722</v>
      </c>
      <c r="H317" s="17" t="s">
        <v>13</v>
      </c>
      <c r="I317" s="17" t="s">
        <v>543</v>
      </c>
      <c r="J317" s="20"/>
    </row>
    <row r="318" spans="1:11" ht="16" x14ac:dyDescent="0.2">
      <c r="A318" s="16">
        <v>27</v>
      </c>
      <c r="B318" s="34">
        <v>43481</v>
      </c>
      <c r="C318" s="16">
        <v>5</v>
      </c>
      <c r="D318" s="17" t="s">
        <v>695</v>
      </c>
      <c r="E318" s="17" t="s">
        <v>467</v>
      </c>
      <c r="F318" s="17" t="s">
        <v>723</v>
      </c>
      <c r="G318" s="18" t="s">
        <v>724</v>
      </c>
      <c r="H318" s="17" t="s">
        <v>13</v>
      </c>
      <c r="I318" s="17" t="s">
        <v>14</v>
      </c>
      <c r="J318" s="23"/>
    </row>
    <row r="319" spans="1:11" ht="16" x14ac:dyDescent="0.2">
      <c r="A319" s="16">
        <v>28</v>
      </c>
      <c r="B319" s="34">
        <v>43482</v>
      </c>
      <c r="C319" s="16">
        <v>24</v>
      </c>
      <c r="D319" s="17" t="s">
        <v>59</v>
      </c>
      <c r="E319" s="17" t="s">
        <v>637</v>
      </c>
      <c r="F319" s="17" t="s">
        <v>497</v>
      </c>
      <c r="G319" s="18" t="s">
        <v>725</v>
      </c>
      <c r="H319" s="17" t="s">
        <v>23</v>
      </c>
      <c r="I319" s="67" t="s">
        <v>14</v>
      </c>
      <c r="J319" s="22"/>
    </row>
    <row r="320" spans="1:11" ht="32" x14ac:dyDescent="0.2">
      <c r="A320" s="16">
        <v>29</v>
      </c>
      <c r="B320" s="34">
        <v>43469</v>
      </c>
      <c r="C320" s="16">
        <v>17</v>
      </c>
      <c r="D320" s="17" t="s">
        <v>726</v>
      </c>
      <c r="E320" s="17" t="s">
        <v>32</v>
      </c>
      <c r="F320" s="17" t="s">
        <v>660</v>
      </c>
      <c r="G320" s="18" t="s">
        <v>727</v>
      </c>
      <c r="H320" s="17" t="s">
        <v>728</v>
      </c>
      <c r="I320" s="38" t="s">
        <v>181</v>
      </c>
      <c r="J320" s="38"/>
    </row>
    <row r="321" spans="1:11" ht="16" x14ac:dyDescent="0.2">
      <c r="A321" s="16">
        <v>30</v>
      </c>
      <c r="B321" s="34">
        <v>43480</v>
      </c>
      <c r="C321" s="16">
        <v>3</v>
      </c>
      <c r="D321" s="17" t="s">
        <v>295</v>
      </c>
      <c r="E321" s="17" t="s">
        <v>202</v>
      </c>
      <c r="F321" s="17" t="s">
        <v>321</v>
      </c>
      <c r="G321" s="18" t="s">
        <v>729</v>
      </c>
      <c r="H321" s="17" t="s">
        <v>13</v>
      </c>
      <c r="I321" s="17" t="s">
        <v>136</v>
      </c>
      <c r="J321" s="17" t="s">
        <v>136</v>
      </c>
    </row>
    <row r="322" spans="1:11" ht="16" x14ac:dyDescent="0.2">
      <c r="A322" s="16">
        <v>31</v>
      </c>
      <c r="B322" s="34">
        <v>43474</v>
      </c>
      <c r="C322" s="16">
        <v>8</v>
      </c>
      <c r="D322" s="17" t="s">
        <v>500</v>
      </c>
      <c r="E322" s="17" t="s">
        <v>566</v>
      </c>
      <c r="F322" s="17" t="s">
        <v>545</v>
      </c>
      <c r="G322" s="18" t="s">
        <v>294</v>
      </c>
      <c r="H322" s="17" t="s">
        <v>119</v>
      </c>
      <c r="I322" s="17" t="s">
        <v>181</v>
      </c>
      <c r="J322" s="17"/>
    </row>
    <row r="323" spans="1:11" ht="32" x14ac:dyDescent="0.2">
      <c r="A323" s="16">
        <v>32</v>
      </c>
      <c r="B323" s="34">
        <v>43486</v>
      </c>
      <c r="C323" s="16">
        <v>4</v>
      </c>
      <c r="D323" s="17" t="s">
        <v>730</v>
      </c>
      <c r="E323" s="17" t="s">
        <v>60</v>
      </c>
      <c r="F323" s="17" t="s">
        <v>731</v>
      </c>
      <c r="G323" s="18" t="s">
        <v>732</v>
      </c>
      <c r="H323" s="17" t="s">
        <v>23</v>
      </c>
      <c r="I323" s="17" t="s">
        <v>119</v>
      </c>
      <c r="J323" s="17"/>
    </row>
    <row r="324" spans="1:11" ht="16" x14ac:dyDescent="0.2">
      <c r="A324" s="16">
        <v>33</v>
      </c>
      <c r="B324" s="34">
        <v>43480</v>
      </c>
      <c r="C324" s="16">
        <v>8</v>
      </c>
      <c r="D324" s="17" t="s">
        <v>161</v>
      </c>
      <c r="E324" s="17" t="s">
        <v>693</v>
      </c>
      <c r="F324" s="17" t="s">
        <v>733</v>
      </c>
      <c r="G324" s="18" t="s">
        <v>542</v>
      </c>
      <c r="H324" s="17" t="s">
        <v>119</v>
      </c>
      <c r="I324" s="17" t="s">
        <v>181</v>
      </c>
      <c r="J324" s="17"/>
    </row>
    <row r="325" spans="1:11" ht="16" x14ac:dyDescent="0.2">
      <c r="A325" s="16">
        <v>34</v>
      </c>
      <c r="B325" s="34">
        <v>43488</v>
      </c>
      <c r="C325" s="16">
        <v>43</v>
      </c>
      <c r="D325" s="17" t="s">
        <v>253</v>
      </c>
      <c r="E325" s="17" t="s">
        <v>734</v>
      </c>
      <c r="F325" s="17" t="s">
        <v>17</v>
      </c>
      <c r="G325" s="18" t="s">
        <v>61</v>
      </c>
      <c r="H325" s="17" t="s">
        <v>23</v>
      </c>
      <c r="I325" s="17" t="s">
        <v>14</v>
      </c>
      <c r="J325" s="17" t="s">
        <v>14</v>
      </c>
    </row>
    <row r="326" spans="1:11" ht="16" x14ac:dyDescent="0.2">
      <c r="A326" s="16">
        <v>35</v>
      </c>
      <c r="B326" s="34">
        <v>43489</v>
      </c>
      <c r="C326" s="16">
        <v>3</v>
      </c>
      <c r="D326" s="17" t="str">
        <f t="shared" ref="D326:D346" si="0">IF(C326=1,"Roßstr. 9",IF(C326=2,"Pfalzstr. 17",IF(C326=3,"Schlossstr. 19",IF(C326=4,"Neanderstr. 15",IF(C326=5,"Luisenstr. 3",IF(C326=6,"Lindenstr. 267",IF(C326=7,"Engerstr. 3",IF(C326=8,"Schützenstr. 20",IF(C326=9,"Stockkampstr. 47",IF(C326=10,"Driburgerstr. 8",IF(C326=11,"Kölnerstr. 261",IF(C326=12,"Merowingerstr. 17",IF(C326=13,"Borsigstr. 7",IF(C326=14,"Gerresheimer Landstr. 152",IF(C326=15,"Hoppengarten 15",IF(C326=16,"Hoppengarten 17",IF(C326=17,"Könerstr. 215",IF(C326=18,"Kölnerstr. 217",IF(C326=19,"Alte Bachstr. 25",IF(C326=20,"Kranzstr. 103",IF(C326=21,"Broicherdorfstr. 3",IF(C326=22,"Grafenberger Allee 235",IF(C326=23,"Börnestr. 2",IF(C326=24,"Angerbenden 31",IF(C326=25,"Koppelskamp 10",IF(C326=26,"Koppelskamp 12",IF(C326=27,"Koppelskamp 14")))))))))))))))))))))))))))</f>
        <v>Schlossstr. 19</v>
      </c>
      <c r="E326" s="17" t="s">
        <v>735</v>
      </c>
      <c r="F326" s="17" t="s">
        <v>321</v>
      </c>
      <c r="G326" s="18" t="s">
        <v>294</v>
      </c>
      <c r="H326" s="17" t="s">
        <v>13</v>
      </c>
      <c r="I326" s="17" t="s">
        <v>181</v>
      </c>
      <c r="J326" s="17" t="s">
        <v>181</v>
      </c>
    </row>
    <row r="327" spans="1:11" ht="16" x14ac:dyDescent="0.2">
      <c r="A327" s="16">
        <v>36</v>
      </c>
      <c r="B327" s="34">
        <v>43489</v>
      </c>
      <c r="C327" s="16">
        <v>6</v>
      </c>
      <c r="D327" s="17" t="str">
        <f t="shared" si="0"/>
        <v>Lindenstr. 267</v>
      </c>
      <c r="E327" s="17" t="s">
        <v>693</v>
      </c>
      <c r="F327" s="17" t="s">
        <v>589</v>
      </c>
      <c r="G327" s="18" t="s">
        <v>736</v>
      </c>
      <c r="H327" s="17" t="s">
        <v>13</v>
      </c>
      <c r="I327" s="17" t="s">
        <v>19</v>
      </c>
      <c r="J327" s="17"/>
    </row>
    <row r="328" spans="1:11" ht="16" x14ac:dyDescent="0.2">
      <c r="A328" s="16">
        <v>37</v>
      </c>
      <c r="B328" s="34">
        <v>43489</v>
      </c>
      <c r="C328" s="16">
        <v>46</v>
      </c>
      <c r="D328" s="17" t="s">
        <v>640</v>
      </c>
      <c r="E328" s="17" t="s">
        <v>138</v>
      </c>
      <c r="F328" s="17" t="s">
        <v>17</v>
      </c>
      <c r="G328" s="18" t="s">
        <v>737</v>
      </c>
      <c r="H328" s="17" t="s">
        <v>13</v>
      </c>
      <c r="I328" s="17" t="s">
        <v>411</v>
      </c>
      <c r="J328" s="17"/>
    </row>
    <row r="329" spans="1:11" ht="16" x14ac:dyDescent="0.2">
      <c r="A329" s="16">
        <v>38</v>
      </c>
      <c r="B329" s="34">
        <v>43487</v>
      </c>
      <c r="C329" s="16">
        <v>33</v>
      </c>
      <c r="D329" s="17" t="s">
        <v>85</v>
      </c>
      <c r="E329" s="17" t="s">
        <v>657</v>
      </c>
      <c r="F329" s="17"/>
      <c r="G329" s="18" t="s">
        <v>738</v>
      </c>
      <c r="H329" s="17" t="s">
        <v>13</v>
      </c>
      <c r="I329" s="17" t="s">
        <v>739</v>
      </c>
      <c r="J329" s="17"/>
    </row>
    <row r="330" spans="1:11" ht="16" x14ac:dyDescent="0.2">
      <c r="A330" s="16">
        <v>39</v>
      </c>
      <c r="B330" s="34">
        <v>43490</v>
      </c>
      <c r="C330" s="16">
        <v>9</v>
      </c>
      <c r="D330" s="17" t="str">
        <f t="shared" si="0"/>
        <v>Stockkampstr. 47</v>
      </c>
      <c r="E330" s="17" t="s">
        <v>740</v>
      </c>
      <c r="F330" s="17" t="s">
        <v>741</v>
      </c>
      <c r="G330" s="18" t="s">
        <v>742</v>
      </c>
      <c r="H330" s="17" t="s">
        <v>13</v>
      </c>
      <c r="I330" s="17" t="s">
        <v>181</v>
      </c>
      <c r="J330" s="17" t="s">
        <v>181</v>
      </c>
    </row>
    <row r="331" spans="1:11" ht="16" x14ac:dyDescent="0.2">
      <c r="A331" s="16">
        <v>40</v>
      </c>
      <c r="B331" s="34">
        <v>43493</v>
      </c>
      <c r="C331" s="16">
        <v>8</v>
      </c>
      <c r="D331" s="17" t="str">
        <f t="shared" si="0"/>
        <v>Schützenstr. 20</v>
      </c>
      <c r="E331" s="17" t="s">
        <v>16</v>
      </c>
      <c r="F331" s="17" t="s">
        <v>743</v>
      </c>
      <c r="G331" s="18" t="s">
        <v>542</v>
      </c>
      <c r="H331" s="17" t="s">
        <v>13</v>
      </c>
      <c r="I331" s="17" t="s">
        <v>181</v>
      </c>
      <c r="J331" s="17" t="s">
        <v>181</v>
      </c>
      <c r="K331" s="24"/>
    </row>
    <row r="332" spans="1:11" ht="16" x14ac:dyDescent="0.2">
      <c r="A332" s="16">
        <v>41</v>
      </c>
      <c r="B332" s="34">
        <v>43493</v>
      </c>
      <c r="C332" s="16">
        <v>46</v>
      </c>
      <c r="D332" s="17" t="s">
        <v>640</v>
      </c>
      <c r="E332" s="17" t="s">
        <v>10</v>
      </c>
      <c r="F332" s="17" t="s">
        <v>17</v>
      </c>
      <c r="G332" s="18" t="s">
        <v>744</v>
      </c>
      <c r="H332" s="17" t="s">
        <v>13</v>
      </c>
      <c r="I332" s="17" t="s">
        <v>14</v>
      </c>
      <c r="J332" s="17"/>
    </row>
    <row r="333" spans="1:11" ht="16" x14ac:dyDescent="0.2">
      <c r="A333" s="16">
        <v>42</v>
      </c>
      <c r="B333" s="34">
        <v>43493</v>
      </c>
      <c r="C333" s="16">
        <v>13</v>
      </c>
      <c r="D333" s="17" t="str">
        <f t="shared" si="0"/>
        <v>Borsigstr. 7</v>
      </c>
      <c r="E333" s="17" t="s">
        <v>202</v>
      </c>
      <c r="F333" s="17" t="s">
        <v>745</v>
      </c>
      <c r="G333" s="18" t="s">
        <v>746</v>
      </c>
      <c r="H333" s="17" t="s">
        <v>13</v>
      </c>
      <c r="I333" s="23" t="s">
        <v>48</v>
      </c>
      <c r="J333" s="23"/>
      <c r="K333"/>
    </row>
    <row r="334" spans="1:11" ht="16" x14ac:dyDescent="0.2">
      <c r="A334" s="16">
        <v>43</v>
      </c>
      <c r="B334" s="34">
        <v>43495</v>
      </c>
      <c r="C334" s="16">
        <v>9</v>
      </c>
      <c r="D334" s="17" t="str">
        <f t="shared" si="0"/>
        <v>Stockkampstr. 47</v>
      </c>
      <c r="E334" s="17" t="s">
        <v>712</v>
      </c>
      <c r="F334" s="17" t="s">
        <v>747</v>
      </c>
      <c r="G334" s="18" t="s">
        <v>748</v>
      </c>
      <c r="H334" s="17" t="s">
        <v>58</v>
      </c>
      <c r="I334" s="17" t="s">
        <v>14</v>
      </c>
      <c r="J334" s="22" t="s">
        <v>14</v>
      </c>
    </row>
    <row r="335" spans="1:11" ht="16" x14ac:dyDescent="0.2">
      <c r="A335" s="16">
        <v>44</v>
      </c>
      <c r="B335" s="34">
        <v>43495</v>
      </c>
      <c r="C335" s="16">
        <v>41</v>
      </c>
      <c r="D335" s="17" t="s">
        <v>26</v>
      </c>
      <c r="E335" s="17" t="s">
        <v>637</v>
      </c>
      <c r="F335" s="17" t="s">
        <v>430</v>
      </c>
      <c r="G335" s="18" t="s">
        <v>749</v>
      </c>
      <c r="H335" s="17" t="s">
        <v>13</v>
      </c>
      <c r="I335" s="17" t="s">
        <v>706</v>
      </c>
      <c r="J335" s="20"/>
    </row>
    <row r="336" spans="1:11" ht="16" x14ac:dyDescent="0.2">
      <c r="A336" s="16">
        <v>45</v>
      </c>
      <c r="B336" s="34">
        <v>43496</v>
      </c>
      <c r="C336" s="16">
        <v>19</v>
      </c>
      <c r="D336" s="17" t="str">
        <f t="shared" si="0"/>
        <v>Alte Bachstr. 25</v>
      </c>
      <c r="E336" s="17" t="s">
        <v>750</v>
      </c>
      <c r="F336" s="17" t="s">
        <v>751</v>
      </c>
      <c r="G336" s="18" t="s">
        <v>752</v>
      </c>
      <c r="H336" s="17" t="s">
        <v>23</v>
      </c>
      <c r="I336" s="23" t="s">
        <v>306</v>
      </c>
      <c r="J336" s="23" t="s">
        <v>14</v>
      </c>
    </row>
    <row r="337" spans="1:12" ht="16" x14ac:dyDescent="0.2">
      <c r="A337" s="16">
        <v>46</v>
      </c>
      <c r="B337" s="34">
        <v>43462</v>
      </c>
      <c r="C337" s="16">
        <v>20</v>
      </c>
      <c r="D337" s="17" t="str">
        <f t="shared" si="0"/>
        <v>Kranzstr. 103</v>
      </c>
      <c r="E337" s="17" t="s">
        <v>194</v>
      </c>
      <c r="F337" s="17" t="s">
        <v>226</v>
      </c>
      <c r="G337" s="18" t="s">
        <v>753</v>
      </c>
      <c r="H337" s="17" t="s">
        <v>119</v>
      </c>
      <c r="I337" s="17" t="s">
        <v>200</v>
      </c>
      <c r="J337" s="22" t="s">
        <v>200</v>
      </c>
    </row>
    <row r="338" spans="1:12" ht="16" x14ac:dyDescent="0.2">
      <c r="A338" s="16">
        <v>47</v>
      </c>
      <c r="B338" s="34">
        <v>43496</v>
      </c>
      <c r="C338" s="16">
        <v>20</v>
      </c>
      <c r="D338" s="17" t="str">
        <f t="shared" si="0"/>
        <v>Kranzstr. 103</v>
      </c>
      <c r="E338" s="17" t="s">
        <v>194</v>
      </c>
      <c r="F338" s="17" t="s">
        <v>226</v>
      </c>
      <c r="G338" s="18" t="s">
        <v>754</v>
      </c>
      <c r="H338" s="17" t="s">
        <v>13</v>
      </c>
      <c r="I338" s="23" t="s">
        <v>19</v>
      </c>
      <c r="J338" s="23"/>
    </row>
    <row r="339" spans="1:12" ht="16" x14ac:dyDescent="0.2">
      <c r="A339" s="16">
        <v>48</v>
      </c>
      <c r="B339" s="34">
        <v>43486</v>
      </c>
      <c r="C339" s="16">
        <v>5</v>
      </c>
      <c r="D339" s="17" t="str">
        <f t="shared" si="0"/>
        <v>Luisenstr. 3</v>
      </c>
      <c r="E339" s="17" t="s">
        <v>657</v>
      </c>
      <c r="F339" s="17"/>
      <c r="G339" s="18" t="s">
        <v>755</v>
      </c>
      <c r="H339" s="17" t="s">
        <v>119</v>
      </c>
      <c r="I339" s="17" t="s">
        <v>167</v>
      </c>
      <c r="J339" s="22" t="s">
        <v>167</v>
      </c>
    </row>
    <row r="340" spans="1:12" ht="16" x14ac:dyDescent="0.2">
      <c r="A340" s="16">
        <v>49</v>
      </c>
      <c r="B340" s="34">
        <v>43500</v>
      </c>
      <c r="C340" s="16">
        <v>20</v>
      </c>
      <c r="D340" s="17" t="str">
        <f t="shared" si="0"/>
        <v>Kranzstr. 103</v>
      </c>
      <c r="E340" s="17" t="s">
        <v>756</v>
      </c>
      <c r="F340" s="17" t="s">
        <v>757</v>
      </c>
      <c r="G340" s="18" t="s">
        <v>758</v>
      </c>
      <c r="H340" s="17" t="s">
        <v>23</v>
      </c>
      <c r="I340" s="23" t="s">
        <v>14</v>
      </c>
      <c r="J340" s="23"/>
    </row>
    <row r="341" spans="1:12" ht="16" x14ac:dyDescent="0.2">
      <c r="A341" s="16">
        <v>50</v>
      </c>
      <c r="B341" s="34">
        <v>43500</v>
      </c>
      <c r="C341" s="16">
        <v>45</v>
      </c>
      <c r="D341" s="17" t="s">
        <v>155</v>
      </c>
      <c r="E341" s="17" t="s">
        <v>245</v>
      </c>
      <c r="F341" s="17" t="s">
        <v>759</v>
      </c>
      <c r="G341" s="18" t="s">
        <v>760</v>
      </c>
      <c r="H341" s="17" t="s">
        <v>23</v>
      </c>
      <c r="I341" s="17" t="s">
        <v>543</v>
      </c>
      <c r="J341" s="22"/>
    </row>
    <row r="342" spans="1:12" ht="16" x14ac:dyDescent="0.2">
      <c r="A342" s="16">
        <v>51</v>
      </c>
      <c r="B342" s="34">
        <v>43500</v>
      </c>
      <c r="C342" s="16">
        <v>46</v>
      </c>
      <c r="D342" s="17" t="s">
        <v>268</v>
      </c>
      <c r="E342" s="17" t="s">
        <v>146</v>
      </c>
      <c r="F342" s="17" t="s">
        <v>518</v>
      </c>
      <c r="G342" s="18" t="s">
        <v>761</v>
      </c>
      <c r="H342" s="17" t="s">
        <v>463</v>
      </c>
      <c r="I342" s="23" t="s">
        <v>14</v>
      </c>
      <c r="J342" s="23"/>
    </row>
    <row r="343" spans="1:12" ht="16" x14ac:dyDescent="0.2">
      <c r="A343" s="16">
        <v>52</v>
      </c>
      <c r="B343" s="35">
        <v>43500</v>
      </c>
      <c r="C343" s="16">
        <v>30</v>
      </c>
      <c r="D343" s="17" t="s">
        <v>762</v>
      </c>
      <c r="E343" s="17" t="s">
        <v>665</v>
      </c>
      <c r="F343" s="17" t="s">
        <v>763</v>
      </c>
      <c r="G343" s="18" t="s">
        <v>764</v>
      </c>
      <c r="H343" s="17" t="s">
        <v>58</v>
      </c>
      <c r="I343" s="17" t="s">
        <v>30</v>
      </c>
      <c r="J343" s="21"/>
    </row>
    <row r="344" spans="1:12" ht="16" x14ac:dyDescent="0.2">
      <c r="A344" s="16">
        <v>53</v>
      </c>
      <c r="B344" s="35">
        <v>43501</v>
      </c>
      <c r="C344" s="16">
        <v>17</v>
      </c>
      <c r="D344" s="17" t="str">
        <f t="shared" si="0"/>
        <v>Könerstr. 215</v>
      </c>
      <c r="E344" s="17" t="s">
        <v>630</v>
      </c>
      <c r="F344" s="17" t="s">
        <v>631</v>
      </c>
      <c r="G344" s="18" t="s">
        <v>765</v>
      </c>
      <c r="H344" s="17" t="s">
        <v>23</v>
      </c>
      <c r="I344" s="17" t="s">
        <v>181</v>
      </c>
      <c r="J344" s="17" t="s">
        <v>181</v>
      </c>
    </row>
    <row r="345" spans="1:12" ht="16" x14ac:dyDescent="0.2">
      <c r="A345" s="16">
        <v>54</v>
      </c>
      <c r="B345" s="34">
        <v>43501</v>
      </c>
      <c r="C345" s="16">
        <v>7</v>
      </c>
      <c r="D345" s="17" t="str">
        <f t="shared" si="0"/>
        <v>Engerstr. 3</v>
      </c>
      <c r="E345" s="17" t="s">
        <v>766</v>
      </c>
      <c r="F345" s="17" t="s">
        <v>767</v>
      </c>
      <c r="G345" s="18" t="s">
        <v>768</v>
      </c>
      <c r="H345" s="17" t="s">
        <v>58</v>
      </c>
      <c r="I345" s="17" t="s">
        <v>181</v>
      </c>
      <c r="J345" s="17" t="s">
        <v>181</v>
      </c>
    </row>
    <row r="346" spans="1:12" ht="16" x14ac:dyDescent="0.2">
      <c r="A346" s="16">
        <v>55</v>
      </c>
      <c r="B346" s="34">
        <v>43507</v>
      </c>
      <c r="C346" s="16">
        <v>19</v>
      </c>
      <c r="D346" s="17" t="str">
        <f t="shared" si="0"/>
        <v>Alte Bachstr. 25</v>
      </c>
      <c r="E346" s="17" t="s">
        <v>264</v>
      </c>
      <c r="F346" s="17"/>
      <c r="G346" s="18" t="s">
        <v>769</v>
      </c>
      <c r="H346" s="17" t="s">
        <v>14</v>
      </c>
      <c r="I346" s="17" t="s">
        <v>200</v>
      </c>
      <c r="J346" s="17"/>
    </row>
    <row r="347" spans="1:12" ht="16" x14ac:dyDescent="0.2">
      <c r="A347" s="16">
        <v>56</v>
      </c>
      <c r="B347" s="34">
        <v>43507</v>
      </c>
      <c r="C347" s="16">
        <v>25</v>
      </c>
      <c r="D347" s="17" t="str">
        <f>IF(C347=1,"Roßstr. 9",IF(C347=2,"Pfalzstr. 17",IF(C347=3,"Schlossstr. 19",IF(C347=4,"Neanderstr. 15",IF(C347=5,"Luisenstr. 3",IF(C347=6,"Lindenstr. 267",IF(C347=7,"Engerstr. 3",IF(C347=8,"Schützenstr. 20",IF(C347=9,"Stockkampstr. 47",IF(C347=10,"Driburgerstr. 8",IF(C347=11,"Kölnerstr. 261",IF(C347=12,"Merowingerstr. 17",IF(C347=13,"Borsigstr. 7",IF(C347=14,"Gerresheimer Landstr. 152",IF(C347=15,"Hoppengarten 15",IF(C347=16,"Hoppengarten 17",IF(C347=17,"Könerstr. 215",IF(C347=18,"Kölnerstr. 217",IF(C347=19,"Alte Bachstr. 25",IF(C347=20,"Kranzstr. 103",IF(C347=21,"Broicherdorfstr. 3",IF(C347=22,"Grafenberger Allee 235",IF(C347=23,"Börnestr. 2",IF(C347=24,"Angerbenden 31",IF(C347=25,"Koppelskamp 10",IF(C347=26,"Koppelskamp 12",IF(C347=27,"Koppelskamp 14",IF(C347=28,"Koppelskamp 8",IF(C347=29,"Bismarckstr. 109",IF(C347=30,"Memelstr. 43"))))))))))))))))))))))))))))))</f>
        <v>Koppelskamp 10</v>
      </c>
      <c r="E347" s="17" t="s">
        <v>351</v>
      </c>
      <c r="F347" s="17"/>
      <c r="G347" s="18" t="s">
        <v>770</v>
      </c>
      <c r="H347" s="17" t="s">
        <v>13</v>
      </c>
      <c r="I347" s="17" t="s">
        <v>76</v>
      </c>
      <c r="J347" s="38"/>
    </row>
    <row r="348" spans="1:12" ht="16" x14ac:dyDescent="0.2">
      <c r="A348" s="16">
        <v>57</v>
      </c>
      <c r="B348" s="34">
        <v>43508</v>
      </c>
      <c r="C348" s="16">
        <v>17</v>
      </c>
      <c r="D348" s="17" t="str">
        <f>IF(C348=1,"Roßstr. 9",IF(C348=2,"Pfalzstr. 17",IF(C348=3,"Schlossstr. 19",IF(C348=4,"Neanderstr. 15",IF(C348=5,"Luisenstr. 3",IF(C348=6,"Lindenstr. 267",IF(C348=7,"Engerstr. 3",IF(C348=8,"Schützenstr. 20",IF(C348=9,"Stockkampstr. 47",IF(C348=10,"Driburgerstr. 8",IF(C348=11,"Kölnerstr. 261",IF(C348=12,"Merowingerstr. 17",IF(C348=13,"Borsigstr. 7",IF(C348=14,"Gerresheimer Landstr. 152",IF(C348=15,"Hoppengarten 15",IF(C348=16,"Hoppengarten 17",IF(C348=17,"Kölnerstr. 215",IF(C348=18,"Kölnerstr. 217",IF(C348=19,"Alte Bachstr. 25",IF(C348=20,"Kranzstr. 103",IF(C348=21,"Broicherdorfstr. 3",IF(C348=22,"Grafenberger Allee 235",IF(C348=23,"Börnestr. 2",IF(C348=24,"Angerbenden 31",IF(C348=25,"Koppelskamp 10",IF(C348=26,"Koppelskamp 12",IF(C348=27,"Koppelskamp 14",IF(C348=28,"Koppelskamp 8",IF(C348=29,"Bismarckstr. 109",IF(C348=30,"Memelstr. 43"))))))))))))))))))))))))))))))</f>
        <v>Kölnerstr. 215</v>
      </c>
      <c r="E348" s="17" t="s">
        <v>174</v>
      </c>
      <c r="F348" s="17" t="s">
        <v>771</v>
      </c>
      <c r="G348" s="18" t="s">
        <v>772</v>
      </c>
      <c r="H348" s="17" t="s">
        <v>23</v>
      </c>
      <c r="I348" s="17" t="s">
        <v>48</v>
      </c>
      <c r="J348" s="17"/>
    </row>
    <row r="349" spans="1:12" ht="16" x14ac:dyDescent="0.2">
      <c r="A349" s="16">
        <v>58</v>
      </c>
      <c r="B349" s="34">
        <v>43501</v>
      </c>
      <c r="C349" s="16">
        <v>5</v>
      </c>
      <c r="D349" s="17" t="str">
        <f t="shared" ref="D349:D356" si="1">IF(C349=1,"Roßstr. 9",IF(C349=2,"Pfalzstr. 17",IF(C349=3,"Schlossstr. 19",IF(C349=4,"Neanderstr. 15",IF(C349=5,"Luisenstr. 3",IF(C349=6,"Lindenstr. 267",IF(C349=7,"Engerstr. 3",IF(C349=8,"Schützenstr. 20",IF(C349=9,"Stockkampstr. 47",IF(C349=10,"Driburgerstr. 8",IF(C349=11,"Kölnerstr. 261",IF(C349=12,"Merowingerstr. 17",IF(C349=13,"Borsigstr. 7",IF(C349=14,"Gerresheimer Landstr. 152",IF(C349=15,"Hoppengarten 15",IF(C349=16,"Hoppengarten 17",IF(C349=17,"Könerstr. 215",IF(C349=18,"Kölnerstr. 217",IF(C349=19,"Alte Bachstr. 25",IF(C349=20,"Kranzstr. 103",IF(C349=21,"Broicherdorfstr. 3",IF(C349=22,"Grafenberger Allee 235",IF(C349=23,"Börnestr. 2",IF(C349=24,"Angerbenden 31",IF(C349=25,"Koppelskamp 10",IF(C349=26,"Koppelskamp 12",IF(C349=27,"Koppelskamp 14",IF(C349=28,"Koppelskamp 8",IF(C349=29,"Bismarckstr. 109",IF(C349=30,"Memelstr. 43"))))))))))))))))))))))))))))))</f>
        <v>Luisenstr. 3</v>
      </c>
      <c r="E349" s="17" t="s">
        <v>94</v>
      </c>
      <c r="F349" s="17" t="s">
        <v>484</v>
      </c>
      <c r="G349" s="18" t="s">
        <v>311</v>
      </c>
      <c r="H349" s="17" t="s">
        <v>119</v>
      </c>
      <c r="I349" s="22" t="s">
        <v>312</v>
      </c>
      <c r="J349" s="22" t="s">
        <v>312</v>
      </c>
      <c r="K349" s="24"/>
      <c r="L349" s="25"/>
    </row>
    <row r="350" spans="1:12" ht="16" x14ac:dyDescent="0.2">
      <c r="A350" s="16">
        <v>59</v>
      </c>
      <c r="B350" s="34">
        <v>43491</v>
      </c>
      <c r="C350" s="16">
        <v>19</v>
      </c>
      <c r="D350" s="17" t="str">
        <f t="shared" si="1"/>
        <v>Alte Bachstr. 25</v>
      </c>
      <c r="E350" s="65" t="s">
        <v>773</v>
      </c>
      <c r="F350" s="17" t="s">
        <v>774</v>
      </c>
      <c r="G350" s="18" t="s">
        <v>775</v>
      </c>
      <c r="H350" s="17" t="s">
        <v>119</v>
      </c>
      <c r="I350" s="57" t="s">
        <v>200</v>
      </c>
      <c r="J350" s="29" t="s">
        <v>200</v>
      </c>
      <c r="K350" s="24"/>
      <c r="L350" s="25"/>
    </row>
    <row r="351" spans="1:12" ht="16" x14ac:dyDescent="0.2">
      <c r="A351" s="16">
        <v>60</v>
      </c>
      <c r="B351" s="34">
        <v>43510</v>
      </c>
      <c r="C351" s="16">
        <v>9</v>
      </c>
      <c r="D351" s="17" t="str">
        <f t="shared" si="1"/>
        <v>Stockkampstr. 47</v>
      </c>
      <c r="E351" s="17" t="s">
        <v>10</v>
      </c>
      <c r="F351" s="17" t="s">
        <v>776</v>
      </c>
      <c r="G351" s="18" t="s">
        <v>777</v>
      </c>
      <c r="H351" s="17" t="s">
        <v>13</v>
      </c>
      <c r="I351" s="23" t="s">
        <v>181</v>
      </c>
      <c r="J351" s="20"/>
      <c r="K351" s="24"/>
      <c r="L351" s="25"/>
    </row>
    <row r="352" spans="1:12" ht="16" x14ac:dyDescent="0.2">
      <c r="A352" s="16">
        <v>61</v>
      </c>
      <c r="B352" s="34">
        <v>43510</v>
      </c>
      <c r="C352" s="16">
        <v>48</v>
      </c>
      <c r="D352" s="17" t="s">
        <v>778</v>
      </c>
      <c r="E352" s="17" t="s">
        <v>78</v>
      </c>
      <c r="F352" s="17"/>
      <c r="G352" s="18" t="s">
        <v>779</v>
      </c>
      <c r="H352" s="17" t="s">
        <v>58</v>
      </c>
      <c r="I352" s="17" t="s">
        <v>14</v>
      </c>
      <c r="J352" s="20"/>
      <c r="K352" s="24"/>
      <c r="L352" s="25"/>
    </row>
    <row r="353" spans="1:16" ht="16" x14ac:dyDescent="0.2">
      <c r="A353" s="16">
        <v>62</v>
      </c>
      <c r="B353" s="34">
        <v>43510</v>
      </c>
      <c r="C353" s="16">
        <v>8</v>
      </c>
      <c r="D353" s="17" t="str">
        <f t="shared" si="1"/>
        <v>Schützenstr. 20</v>
      </c>
      <c r="E353" s="17" t="s">
        <v>780</v>
      </c>
      <c r="F353" s="17" t="s">
        <v>618</v>
      </c>
      <c r="G353" s="18" t="s">
        <v>772</v>
      </c>
      <c r="H353" s="17" t="s">
        <v>58</v>
      </c>
      <c r="I353" s="17" t="s">
        <v>48</v>
      </c>
      <c r="J353" s="20"/>
      <c r="K353" s="24"/>
      <c r="L353" s="25"/>
    </row>
    <row r="354" spans="1:16" ht="16" x14ac:dyDescent="0.2">
      <c r="A354" s="16">
        <v>63</v>
      </c>
      <c r="B354" s="34">
        <v>43510</v>
      </c>
      <c r="C354" s="16">
        <v>14</v>
      </c>
      <c r="D354" s="17" t="str">
        <f t="shared" si="1"/>
        <v>Gerresheimer Landstr. 152</v>
      </c>
      <c r="E354" s="17" t="s">
        <v>146</v>
      </c>
      <c r="F354" s="17" t="s">
        <v>781</v>
      </c>
      <c r="G354" s="18" t="s">
        <v>782</v>
      </c>
      <c r="H354" s="17" t="s">
        <v>13</v>
      </c>
      <c r="I354" s="17" t="s">
        <v>14</v>
      </c>
      <c r="J354" s="17"/>
      <c r="K354" s="24"/>
      <c r="L354" s="25"/>
    </row>
    <row r="355" spans="1:16" ht="16" x14ac:dyDescent="0.2">
      <c r="A355" s="16">
        <v>64</v>
      </c>
      <c r="B355" s="34">
        <v>43511</v>
      </c>
      <c r="C355" s="16">
        <v>2</v>
      </c>
      <c r="D355" s="17" t="str">
        <f t="shared" si="1"/>
        <v>Pfalzstr. 17</v>
      </c>
      <c r="E355" s="17" t="s">
        <v>10</v>
      </c>
      <c r="F355" s="17" t="s">
        <v>783</v>
      </c>
      <c r="G355" s="18" t="s">
        <v>784</v>
      </c>
      <c r="H355" s="17" t="s">
        <v>13</v>
      </c>
      <c r="I355" s="17" t="s">
        <v>706</v>
      </c>
      <c r="J355" s="17"/>
    </row>
    <row r="356" spans="1:16" x14ac:dyDescent="0.2">
      <c r="A356" s="16">
        <v>65</v>
      </c>
      <c r="B356" s="34">
        <v>43481</v>
      </c>
      <c r="C356" s="16">
        <v>16</v>
      </c>
      <c r="D356" s="17" t="str">
        <f t="shared" si="1"/>
        <v>Hoppengarten 17</v>
      </c>
      <c r="E356" s="17" t="s">
        <v>138</v>
      </c>
      <c r="F356" s="43" t="s">
        <v>139</v>
      </c>
      <c r="G356" s="17" t="s">
        <v>785</v>
      </c>
      <c r="H356" s="17" t="s">
        <v>119</v>
      </c>
      <c r="I356" s="17" t="s">
        <v>181</v>
      </c>
      <c r="J356" s="17" t="s">
        <v>181</v>
      </c>
    </row>
    <row r="357" spans="1:16" x14ac:dyDescent="0.2">
      <c r="A357" s="16">
        <v>66</v>
      </c>
      <c r="B357" s="34"/>
      <c r="C357" s="16"/>
      <c r="D357" s="17" t="b">
        <f>IF(C357=1,"Roßstr. 9",IF(C357=2,"Pfalzstr. 17",IF(C357=3,"Schlossstr. 19",IF(C357=4,"Neanderstr. 15",IF(C357=5,"Luisenstr. 3",IF(C357=6,"Lindenstr. 267",IF(C357=7,"Engerstr. 3",IF(C357=8,"Schützenstr. 20",IF(C357=9,"Stockkampstr. 47",IF(C357=10,"Driburgerstr. 8",IF(C357=11,"Kölnerstr. 261",IF(C357=12,"Merowingerstr. 17",IF(C357=13,"Borsigstr. 7",IF(C357=14,"Gerresheimer Landstr. 152",IF(C357=15,"Hoppengarten 15",IF(C357=16,"Hoppengarten 17",IF(C357=17,"Könerstr. 215",IF(C357=18,"Kölnerstr. 217",IF(C357=19,"Alte Bachstr. 25",IF(C357=20,"Kranzstr. 103",IF(C357=21,"Broicherdorfstr. 3",IF(C357=22,"Grafenberger Allee 235",IF(C357=23,"Börnestr. 2",IF(C357=24,"Angerbenden 31",IF(C357=25,"Koppelskamp 10",IF(C357=26,"Koppelskamp 12",IF(C357=27,"Koppelskamp 14",IF(C357=28,"Koppelskamp 8",IF(C357=29,"Bismarckstr. 109",IF(C357=30,"Memelstr. 43",IF(C357=31,"Angermunderstr. 30",IF(C357=32,"Koppelskamp 5",IF(C357=33,"Koppelskamp 5a",IF(C357=34,"Koppelskamp 7",IF(C357=35,"Lintorfer Waldstr. 6",IF(C357=36,"Lintorfer Waldstr. 8",IF(C357=37,"Lintorfer Waldstr. 10",IF(C357=38,"Koloniestr. 205",IF(C357=39,"Metzerstr. 28",IF(C357=40,"Metzerstr. 28a",IF(C357=41,"Spichernstr. 27",IF(C357=42,"Metzerstr. 17",IF(C357=43,"Neumühlerstr. 35",IF(C357=44,"Neumühlerstr. 37",IF(C357=45,"Neumühlerstr. 39",IF(C357=46,"Neumühlerstr. 41",IF(C357=47,"Mündelheimerstr. 3-5",IF(C357=48,"Mendelsohnstr. 3"))))))))))))))))))))))))))))))))))))))))))))))))</f>
        <v>0</v>
      </c>
      <c r="E357" s="17"/>
      <c r="F357" s="17"/>
      <c r="G357" s="18"/>
      <c r="H357" s="17"/>
      <c r="I357" s="17"/>
      <c r="J357" s="17"/>
    </row>
    <row r="358" spans="1:16" ht="32" x14ac:dyDescent="0.2">
      <c r="A358" s="16">
        <v>67</v>
      </c>
      <c r="B358" s="34"/>
      <c r="C358" s="16"/>
      <c r="D358" s="17" t="b">
        <f t="shared" ref="D358:D375" si="2">IF(C358=1,"Roßstr. 9",IF(C358=2,"Pfalzstr. 17",IF(C358=3,"Schlossstr. 19",IF(C358=4,"Neanderstr. 15",IF(C358=5,"Luisenstr. 3",IF(C358=6,"Lindenstr. 267",IF(C358=7,"Engerstr. 3",IF(C358=8,"Schützenstr. 20",IF(C358=9,"Stockkampstr. 47",IF(C358=10,"Driburgerstr. 8",IF(C358=11,"Kölnerstr. 261",IF(C358=12,"Merowingerstr. 17",IF(C358=13,"Borsigstr. 7",IF(C358=14,"Gerresheimer Landstr. 152",IF(C358=15,"Hoppengarten 15",IF(C358=16,"Hoppengarten 17",IF(C358=17,"Könerstr. 215",IF(C358=18,"Kölnerstr. 217",IF(C358=19,"Alte Bachstr. 25",IF(C358=20,"Kranzstr. 103",IF(C358=21,"Broicherdorfstr. 3",IF(C358=22,"Grafenberger Allee 235",IF(C358=23,"Börnestr. 2",IF(C358=24,"Angerbenden 31",IF(C358=25,"Koppelskamp 10",IF(C358=26,"Koppelskamp 12",IF(C358=27,"Koppelskamp 14",IF(C358=28,"Koppelskamp 8",IF(C358=29,"Bismarckstr. 109",IF(C358=30,"Memelstr. 43",IF(C358=31,"Angermunderstr. 30",IF(C358=32,"Koppelskamp 5",IF(C358=33,"Koppelskamp 5a",IF(C358=34,"Koppelskamp 7",IF(C358=35,"Lintorfer Waldstr. 6",IF(C358=36,"Lintorfer Waldstr. 8",IF(C358=37,"Lintorfer Waldstr. 10",IF(C358=38,"Koloniestr. 205",IF(C358=39,"Metzerstr. 28",IF(C358=40,"Metzerstr. 28a",IF(C358=41,"Spichernstr. 27",IF(C358=42,"Metzerstr. 17",IF(C358=43,"Neumühlerstr. 35",IF(C358=44,"Neumühlerstr. 37",IF(C358=45,"Neumühlerstr. 39",IF(C358=46,"Neumühlerstr. 41",IF(C358=47,"Mündelheimerstr. 3-5",IF(C358=48,"Mendelsohnstr. 3"))))))))))))))))))))))))))))))))))))))))))))))))</f>
        <v>0</v>
      </c>
      <c r="E358" s="17"/>
      <c r="F358" s="17"/>
      <c r="G358" s="18"/>
      <c r="H358" s="17"/>
      <c r="I358" s="38"/>
      <c r="J358" s="38"/>
      <c r="L358" s="73">
        <v>46</v>
      </c>
      <c r="M358" s="23" t="s">
        <v>640</v>
      </c>
      <c r="N358" s="23" t="s">
        <v>78</v>
      </c>
      <c r="O358" s="23" t="s">
        <v>94</v>
      </c>
      <c r="P358" s="18" t="s">
        <v>786</v>
      </c>
    </row>
    <row r="359" spans="1:16" ht="16" x14ac:dyDescent="0.2">
      <c r="A359" s="16">
        <v>68</v>
      </c>
      <c r="B359" s="34"/>
      <c r="C359" s="16"/>
      <c r="D359" s="17" t="b">
        <f t="shared" si="2"/>
        <v>0</v>
      </c>
      <c r="E359" s="17"/>
      <c r="F359" s="17"/>
      <c r="G359" s="18"/>
      <c r="H359" s="17"/>
      <c r="I359" s="17"/>
      <c r="J359" s="17"/>
      <c r="L359" s="73">
        <v>46</v>
      </c>
      <c r="M359" s="23" t="s">
        <v>640</v>
      </c>
      <c r="N359" s="74" t="s">
        <v>10</v>
      </c>
      <c r="O359" s="23" t="s">
        <v>17</v>
      </c>
      <c r="P359" s="18" t="s">
        <v>787</v>
      </c>
    </row>
    <row r="360" spans="1:16" ht="16" x14ac:dyDescent="0.2">
      <c r="A360" s="16">
        <v>69</v>
      </c>
      <c r="B360" s="34"/>
      <c r="C360" s="16"/>
      <c r="D360" s="17" t="b">
        <f t="shared" si="2"/>
        <v>0</v>
      </c>
      <c r="E360" s="17"/>
      <c r="F360" s="17"/>
      <c r="G360" s="18"/>
      <c r="H360" s="17"/>
      <c r="I360" s="17"/>
      <c r="J360" s="17"/>
      <c r="L360" s="73">
        <v>45</v>
      </c>
      <c r="M360" s="23" t="s">
        <v>15</v>
      </c>
      <c r="N360" s="23" t="s">
        <v>637</v>
      </c>
      <c r="O360" s="23"/>
      <c r="P360" s="18" t="s">
        <v>788</v>
      </c>
    </row>
    <row r="361" spans="1:16" ht="16" x14ac:dyDescent="0.2">
      <c r="A361" s="16">
        <v>70</v>
      </c>
      <c r="B361" s="34"/>
      <c r="C361" s="16"/>
      <c r="D361" s="17" t="b">
        <f t="shared" si="2"/>
        <v>0</v>
      </c>
      <c r="E361" s="17"/>
      <c r="F361" s="17"/>
      <c r="G361" s="18"/>
      <c r="H361" s="17"/>
      <c r="I361" s="17"/>
      <c r="J361" s="17"/>
      <c r="L361" s="73">
        <v>43</v>
      </c>
      <c r="M361" s="23" t="s">
        <v>75</v>
      </c>
      <c r="N361" s="23" t="s">
        <v>693</v>
      </c>
      <c r="O361" s="23" t="s">
        <v>789</v>
      </c>
      <c r="P361" s="18" t="s">
        <v>790</v>
      </c>
    </row>
    <row r="362" spans="1:16" ht="16" x14ac:dyDescent="0.2">
      <c r="A362" s="16">
        <v>71</v>
      </c>
      <c r="B362" s="34"/>
      <c r="C362" s="16"/>
      <c r="D362" s="17" t="b">
        <f t="shared" si="2"/>
        <v>0</v>
      </c>
      <c r="E362" s="17"/>
      <c r="F362" s="17"/>
      <c r="G362" s="18"/>
      <c r="H362" s="17"/>
      <c r="I362" s="17"/>
      <c r="J362" s="17"/>
      <c r="L362" s="73">
        <v>29</v>
      </c>
      <c r="M362" s="23" t="s">
        <v>675</v>
      </c>
      <c r="N362" s="23" t="s">
        <v>791</v>
      </c>
      <c r="O362" s="23"/>
      <c r="P362" s="18" t="s">
        <v>792</v>
      </c>
    </row>
    <row r="363" spans="1:16" ht="16" x14ac:dyDescent="0.2">
      <c r="A363" s="16">
        <v>72</v>
      </c>
      <c r="B363" s="34"/>
      <c r="C363" s="16"/>
      <c r="D363" s="17" t="b">
        <f t="shared" si="2"/>
        <v>0</v>
      </c>
      <c r="E363" s="17"/>
      <c r="F363" s="17"/>
      <c r="G363" s="18"/>
      <c r="H363" s="17"/>
      <c r="I363" s="21"/>
      <c r="J363" s="21"/>
      <c r="L363" s="73">
        <v>5</v>
      </c>
      <c r="M363" s="23" t="s">
        <v>695</v>
      </c>
      <c r="N363" s="23" t="s">
        <v>793</v>
      </c>
      <c r="O363" s="23" t="s">
        <v>794</v>
      </c>
      <c r="P363" s="18" t="s">
        <v>795</v>
      </c>
    </row>
    <row r="364" spans="1:16" x14ac:dyDescent="0.2">
      <c r="A364" s="16">
        <v>73</v>
      </c>
      <c r="B364" s="34"/>
      <c r="C364" s="16"/>
      <c r="D364" s="17" t="b">
        <f t="shared" si="2"/>
        <v>0</v>
      </c>
      <c r="E364" s="17"/>
      <c r="F364" s="17"/>
      <c r="G364" s="18"/>
      <c r="H364" s="17"/>
      <c r="I364" s="17"/>
      <c r="J364" s="17"/>
    </row>
    <row r="365" spans="1:16" x14ac:dyDescent="0.2">
      <c r="A365" s="16">
        <v>74</v>
      </c>
      <c r="B365" s="34"/>
      <c r="C365" s="16"/>
      <c r="D365" s="17" t="b">
        <f t="shared" si="2"/>
        <v>0</v>
      </c>
      <c r="E365" s="17"/>
      <c r="F365" s="17"/>
      <c r="G365" s="18"/>
      <c r="H365" s="17"/>
      <c r="I365" s="17"/>
      <c r="J365" s="17"/>
    </row>
    <row r="366" spans="1:16" x14ac:dyDescent="0.2">
      <c r="A366" s="16">
        <v>75</v>
      </c>
      <c r="B366" s="34"/>
      <c r="C366" s="16"/>
      <c r="D366" s="17" t="b">
        <f t="shared" si="2"/>
        <v>0</v>
      </c>
      <c r="E366" s="17"/>
      <c r="F366" s="17"/>
      <c r="G366" s="18"/>
      <c r="H366" s="17"/>
      <c r="I366" s="21"/>
      <c r="J366" s="21"/>
    </row>
    <row r="367" spans="1:16" x14ac:dyDescent="0.2">
      <c r="A367" s="16">
        <v>76</v>
      </c>
      <c r="B367" s="34"/>
      <c r="C367" s="16"/>
      <c r="D367" s="17" t="b">
        <f t="shared" si="2"/>
        <v>0</v>
      </c>
      <c r="E367" s="17"/>
      <c r="F367" s="17"/>
      <c r="G367" s="18"/>
      <c r="H367" s="17"/>
      <c r="I367" s="17"/>
      <c r="J367" s="17"/>
    </row>
    <row r="368" spans="1:16" x14ac:dyDescent="0.2">
      <c r="A368" s="16">
        <v>77</v>
      </c>
      <c r="B368" s="34"/>
      <c r="C368" s="16"/>
      <c r="D368" s="17" t="b">
        <f t="shared" si="2"/>
        <v>0</v>
      </c>
      <c r="E368" s="17"/>
      <c r="F368" s="17"/>
      <c r="G368" s="18"/>
      <c r="H368" s="17"/>
      <c r="I368" s="38"/>
      <c r="J368" s="38"/>
    </row>
    <row r="369" spans="1:10" x14ac:dyDescent="0.2">
      <c r="A369" s="16">
        <v>78</v>
      </c>
      <c r="B369" s="34"/>
      <c r="C369" s="16"/>
      <c r="D369" s="17" t="b">
        <f t="shared" si="2"/>
        <v>0</v>
      </c>
      <c r="E369" s="17"/>
      <c r="F369" s="17"/>
      <c r="G369" s="18"/>
      <c r="H369" s="17"/>
      <c r="I369" s="17"/>
      <c r="J369" s="17"/>
    </row>
    <row r="370" spans="1:10" x14ac:dyDescent="0.2">
      <c r="A370" s="16">
        <v>79</v>
      </c>
      <c r="B370" s="34"/>
      <c r="C370" s="16"/>
      <c r="D370" s="17" t="b">
        <f t="shared" si="2"/>
        <v>0</v>
      </c>
      <c r="E370" s="17"/>
      <c r="F370" s="17"/>
      <c r="G370" s="18"/>
      <c r="H370" s="17"/>
      <c r="I370" s="17"/>
      <c r="J370" s="17"/>
    </row>
    <row r="371" spans="1:10" x14ac:dyDescent="0.2">
      <c r="A371" s="16">
        <v>80</v>
      </c>
      <c r="B371" s="34"/>
      <c r="C371" s="16"/>
      <c r="D371" s="17" t="b">
        <f t="shared" si="2"/>
        <v>0</v>
      </c>
      <c r="E371" s="17"/>
      <c r="F371" s="17"/>
      <c r="G371" s="18"/>
      <c r="H371" s="17"/>
      <c r="I371" s="17"/>
      <c r="J371" s="17"/>
    </row>
    <row r="372" spans="1:10" x14ac:dyDescent="0.2">
      <c r="A372" s="16">
        <v>81</v>
      </c>
      <c r="B372" s="34"/>
      <c r="C372" s="16"/>
      <c r="D372" s="17" t="b">
        <f t="shared" si="2"/>
        <v>0</v>
      </c>
      <c r="E372" s="17"/>
      <c r="F372" s="17"/>
      <c r="G372" s="18"/>
      <c r="H372" s="17"/>
      <c r="I372" s="38"/>
      <c r="J372" s="38"/>
    </row>
    <row r="373" spans="1:10" x14ac:dyDescent="0.2">
      <c r="A373" s="16">
        <v>82</v>
      </c>
      <c r="B373" s="34"/>
      <c r="C373" s="16"/>
      <c r="D373" s="17" t="b">
        <f t="shared" si="2"/>
        <v>0</v>
      </c>
      <c r="E373" s="17"/>
      <c r="F373" s="17"/>
      <c r="G373" s="18"/>
      <c r="H373" s="17"/>
      <c r="I373" s="17"/>
      <c r="J373" s="17"/>
    </row>
    <row r="374" spans="1:10" x14ac:dyDescent="0.2">
      <c r="A374" s="16">
        <v>83</v>
      </c>
      <c r="B374" s="34"/>
      <c r="C374" s="16"/>
      <c r="D374" s="17" t="b">
        <f t="shared" si="2"/>
        <v>0</v>
      </c>
      <c r="E374" s="17"/>
      <c r="F374" s="17"/>
      <c r="G374" s="18"/>
      <c r="H374" s="17"/>
      <c r="I374" s="17"/>
      <c r="J374" s="21"/>
    </row>
    <row r="375" spans="1:10" x14ac:dyDescent="0.2">
      <c r="A375" s="16">
        <v>84</v>
      </c>
      <c r="B375" s="34"/>
      <c r="C375" s="16"/>
      <c r="D375" s="17" t="b">
        <f t="shared" si="2"/>
        <v>0</v>
      </c>
      <c r="E375" s="17"/>
      <c r="F375" s="17"/>
      <c r="G375" s="18"/>
      <c r="H375" s="17"/>
      <c r="I375" s="17"/>
      <c r="J375" s="17"/>
    </row>
    <row r="376" spans="1:10" x14ac:dyDescent="0.2">
      <c r="A376" s="16"/>
      <c r="B376" s="34"/>
      <c r="C376" s="16"/>
      <c r="D376" s="17"/>
      <c r="E376" s="17"/>
      <c r="F376" s="17"/>
      <c r="G376" s="18"/>
      <c r="H376" s="17"/>
      <c r="I376" s="17"/>
      <c r="J376" s="17"/>
    </row>
    <row r="377" spans="1:10" x14ac:dyDescent="0.2">
      <c r="A377" s="16"/>
      <c r="B377" s="34"/>
      <c r="C377" s="16"/>
      <c r="D377" s="17"/>
      <c r="E377" s="17"/>
      <c r="F377" s="17"/>
      <c r="G377" s="18"/>
      <c r="H377" s="17"/>
      <c r="I377" s="17"/>
      <c r="J377" s="17"/>
    </row>
    <row r="378" spans="1:10" x14ac:dyDescent="0.2">
      <c r="A378" s="16"/>
      <c r="B378" s="34"/>
      <c r="C378" s="16"/>
      <c r="D378" s="17"/>
      <c r="E378" s="17"/>
      <c r="F378" s="17"/>
      <c r="G378" s="18"/>
      <c r="H378" s="17"/>
      <c r="I378" s="38"/>
      <c r="J378" s="56"/>
    </row>
    <row r="379" spans="1:10" x14ac:dyDescent="0.2">
      <c r="A379" s="16"/>
      <c r="B379" s="34"/>
      <c r="C379" s="16"/>
      <c r="D379" s="17"/>
      <c r="E379" s="17"/>
      <c r="F379" s="17"/>
      <c r="G379" s="18"/>
      <c r="H379" s="17"/>
      <c r="I379" s="17"/>
      <c r="J379" s="17"/>
    </row>
    <row r="380" spans="1:10" x14ac:dyDescent="0.2">
      <c r="A380" s="16"/>
      <c r="B380" s="34"/>
      <c r="C380" s="16"/>
      <c r="D380" s="17"/>
      <c r="E380" s="17"/>
      <c r="F380" s="17"/>
      <c r="G380" s="18"/>
      <c r="H380" s="17"/>
      <c r="I380" s="17"/>
      <c r="J380" s="17"/>
    </row>
    <row r="381" spans="1:10" x14ac:dyDescent="0.2">
      <c r="A381" s="16"/>
      <c r="B381" s="34"/>
      <c r="C381" s="16"/>
      <c r="D381" s="17"/>
      <c r="E381" s="17"/>
      <c r="F381" s="17"/>
      <c r="G381" s="18"/>
      <c r="H381" s="17"/>
      <c r="I381" s="17"/>
      <c r="J381" s="17"/>
    </row>
    <row r="382" spans="1:10" x14ac:dyDescent="0.2">
      <c r="A382" s="16"/>
      <c r="B382" s="34"/>
      <c r="C382" s="16"/>
      <c r="D382" s="17"/>
      <c r="E382" s="17"/>
      <c r="F382" s="17"/>
      <c r="G382" s="18"/>
      <c r="H382" s="17"/>
      <c r="I382" s="17"/>
      <c r="J382" s="17"/>
    </row>
    <row r="383" spans="1:10" x14ac:dyDescent="0.2">
      <c r="A383" s="16"/>
      <c r="B383" s="34"/>
      <c r="C383" s="16"/>
      <c r="D383" s="17"/>
      <c r="E383" s="17"/>
      <c r="F383" s="17"/>
      <c r="G383" s="18"/>
      <c r="H383" s="17"/>
      <c r="I383" s="17"/>
      <c r="J383" s="17"/>
    </row>
    <row r="384" spans="1:10" x14ac:dyDescent="0.2">
      <c r="A384" s="16"/>
      <c r="B384" s="34"/>
      <c r="C384" s="16"/>
      <c r="D384" s="17"/>
      <c r="E384" s="17"/>
      <c r="F384" s="17"/>
      <c r="G384" s="18"/>
      <c r="H384" s="17"/>
      <c r="I384" s="17"/>
      <c r="J384" s="17"/>
    </row>
    <row r="385" spans="1:10" x14ac:dyDescent="0.2">
      <c r="A385" s="16"/>
      <c r="B385" s="34"/>
      <c r="C385" s="16"/>
      <c r="D385" s="17"/>
      <c r="E385" s="17"/>
      <c r="F385" s="17"/>
      <c r="G385" s="18"/>
      <c r="H385" s="17"/>
      <c r="I385" s="17"/>
      <c r="J385" s="17"/>
    </row>
    <row r="386" spans="1:10" x14ac:dyDescent="0.2">
      <c r="A386" s="16"/>
      <c r="B386" s="34"/>
      <c r="C386" s="16"/>
      <c r="D386" s="17"/>
      <c r="E386" s="17"/>
      <c r="F386" s="17"/>
      <c r="G386" s="18"/>
      <c r="H386" s="17"/>
      <c r="I386" s="17"/>
      <c r="J386" s="17"/>
    </row>
    <row r="387" spans="1:10" x14ac:dyDescent="0.2">
      <c r="A387" s="16"/>
      <c r="B387" s="34"/>
      <c r="C387" s="16"/>
      <c r="D387" s="17"/>
      <c r="E387" s="17"/>
      <c r="F387" s="17"/>
      <c r="G387" s="18"/>
      <c r="H387" s="17"/>
      <c r="I387" s="17"/>
      <c r="J387" s="17"/>
    </row>
    <row r="388" spans="1:10" x14ac:dyDescent="0.2">
      <c r="A388" s="16"/>
      <c r="B388" s="34"/>
      <c r="C388" s="16"/>
      <c r="D388" s="17"/>
      <c r="E388" s="17"/>
      <c r="F388" s="17"/>
      <c r="G388" s="18"/>
      <c r="H388" s="17"/>
      <c r="I388" s="38"/>
      <c r="J388" s="38"/>
    </row>
    <row r="389" spans="1:10" x14ac:dyDescent="0.2">
      <c r="A389" s="16"/>
      <c r="B389" s="34"/>
      <c r="C389" s="16"/>
      <c r="D389" s="17"/>
      <c r="E389" s="17"/>
      <c r="F389" s="17"/>
      <c r="G389" s="18"/>
      <c r="H389" s="17"/>
      <c r="I389" s="17"/>
      <c r="J389" s="17"/>
    </row>
    <row r="390" spans="1:10" x14ac:dyDescent="0.2">
      <c r="A390" s="16"/>
      <c r="B390" s="34"/>
      <c r="C390" s="16"/>
      <c r="D390" s="17"/>
      <c r="E390" s="17"/>
      <c r="F390" s="17"/>
      <c r="G390" s="18"/>
      <c r="H390" s="17"/>
      <c r="I390" s="17"/>
      <c r="J390" s="17"/>
    </row>
    <row r="391" spans="1:10" x14ac:dyDescent="0.2">
      <c r="A391" s="16"/>
      <c r="B391" s="34"/>
      <c r="C391" s="16"/>
      <c r="D391" s="17"/>
      <c r="E391" s="17"/>
      <c r="F391" s="17"/>
      <c r="G391" s="18"/>
      <c r="H391" s="17"/>
      <c r="I391" s="17"/>
      <c r="J391" s="17"/>
    </row>
    <row r="392" spans="1:10" x14ac:dyDescent="0.2">
      <c r="A392" s="16"/>
      <c r="B392" s="34"/>
      <c r="C392" s="16"/>
      <c r="D392" s="17"/>
      <c r="E392" s="17"/>
      <c r="F392" s="17"/>
      <c r="G392" s="18"/>
      <c r="H392" s="17"/>
      <c r="I392" s="29"/>
      <c r="J392" s="29"/>
    </row>
    <row r="393" spans="1:10" x14ac:dyDescent="0.2">
      <c r="A393" s="16"/>
      <c r="B393" s="34"/>
      <c r="C393" s="16"/>
      <c r="D393" s="17"/>
      <c r="E393" s="17"/>
      <c r="F393" s="17"/>
      <c r="G393" s="18"/>
      <c r="H393" s="17"/>
      <c r="I393" s="17"/>
      <c r="J393" s="17"/>
    </row>
    <row r="394" spans="1:10" x14ac:dyDescent="0.2">
      <c r="A394" s="16"/>
      <c r="B394" s="34"/>
      <c r="C394" s="16"/>
      <c r="D394" s="17"/>
      <c r="E394" s="17"/>
      <c r="F394" s="17"/>
      <c r="G394" s="18"/>
      <c r="H394" s="17"/>
      <c r="I394" s="17"/>
      <c r="J394" s="17"/>
    </row>
    <row r="395" spans="1:10" x14ac:dyDescent="0.2">
      <c r="A395" s="16"/>
      <c r="B395" s="34"/>
      <c r="C395" s="16"/>
      <c r="D395" s="17"/>
      <c r="E395" s="17"/>
      <c r="F395" s="17"/>
      <c r="G395" s="18"/>
      <c r="H395" s="17"/>
      <c r="I395" s="17"/>
      <c r="J395" s="17"/>
    </row>
    <row r="396" spans="1:10" x14ac:dyDescent="0.2">
      <c r="A396" s="16"/>
      <c r="B396" s="34"/>
      <c r="C396" s="16"/>
      <c r="D396" s="17"/>
      <c r="E396" s="17"/>
      <c r="F396" s="17"/>
      <c r="G396" s="18"/>
      <c r="H396" s="17"/>
      <c r="I396" s="17"/>
      <c r="J396" s="17"/>
    </row>
    <row r="397" spans="1:10" x14ac:dyDescent="0.2">
      <c r="A397" s="16"/>
      <c r="B397" s="34"/>
      <c r="C397" s="16"/>
      <c r="D397" s="17"/>
      <c r="E397" s="17"/>
      <c r="F397" s="17"/>
      <c r="G397" s="18"/>
      <c r="H397" s="17"/>
      <c r="I397" s="21"/>
      <c r="J397" s="21"/>
    </row>
    <row r="398" spans="1:10" x14ac:dyDescent="0.2">
      <c r="A398" s="16"/>
      <c r="B398" s="34"/>
      <c r="C398" s="16"/>
      <c r="D398" s="17"/>
      <c r="E398" s="17"/>
      <c r="F398" s="17"/>
      <c r="G398" s="18"/>
      <c r="H398" s="17"/>
      <c r="I398" s="17"/>
      <c r="J398" s="17"/>
    </row>
    <row r="399" spans="1:10" x14ac:dyDescent="0.2">
      <c r="A399" s="16"/>
      <c r="B399" s="34"/>
      <c r="C399" s="16"/>
      <c r="D399" s="17"/>
      <c r="E399" s="17"/>
      <c r="F399" s="17"/>
      <c r="G399" s="30"/>
      <c r="H399" s="17"/>
      <c r="I399" s="29"/>
      <c r="J399" s="29"/>
    </row>
    <row r="400" spans="1:10" x14ac:dyDescent="0.2">
      <c r="A400" s="16"/>
      <c r="B400" s="34"/>
      <c r="C400" s="16"/>
      <c r="D400" s="17"/>
      <c r="E400" s="17"/>
      <c r="F400" s="17"/>
      <c r="G400" s="18"/>
      <c r="H400" s="17"/>
      <c r="I400" s="17"/>
      <c r="J400" s="17"/>
    </row>
    <row r="401" spans="1:10" x14ac:dyDescent="0.2">
      <c r="A401" s="16"/>
      <c r="B401" s="34"/>
      <c r="C401" s="16"/>
      <c r="D401" s="17"/>
      <c r="E401" s="17"/>
      <c r="F401" s="17"/>
      <c r="G401" s="18"/>
      <c r="H401" s="17"/>
      <c r="I401" s="17"/>
      <c r="J401" s="17"/>
    </row>
    <row r="402" spans="1:10" x14ac:dyDescent="0.2">
      <c r="A402" s="16"/>
      <c r="B402" s="34"/>
      <c r="C402" s="16"/>
      <c r="D402" s="17"/>
      <c r="E402" s="17"/>
      <c r="F402" s="17"/>
      <c r="G402" s="18"/>
      <c r="H402" s="17"/>
      <c r="I402" s="17"/>
      <c r="J402" s="17"/>
    </row>
    <row r="403" spans="1:10" x14ac:dyDescent="0.2">
      <c r="A403" s="16"/>
      <c r="B403" s="34"/>
      <c r="C403" s="16"/>
      <c r="D403" s="17"/>
      <c r="E403" s="17"/>
      <c r="F403" s="17"/>
      <c r="G403" s="18"/>
      <c r="H403" s="17"/>
      <c r="I403" s="17"/>
      <c r="J403" s="17"/>
    </row>
    <row r="404" spans="1:10" x14ac:dyDescent="0.2">
      <c r="A404" s="16"/>
      <c r="B404" s="34"/>
      <c r="C404" s="16"/>
      <c r="D404" s="17"/>
      <c r="E404" s="17"/>
      <c r="F404" s="17"/>
      <c r="G404" s="18"/>
      <c r="H404" s="17"/>
      <c r="I404" s="17"/>
      <c r="J404" s="17"/>
    </row>
    <row r="405" spans="1:10" x14ac:dyDescent="0.2">
      <c r="A405" s="16"/>
      <c r="B405" s="34"/>
      <c r="C405" s="16"/>
      <c r="D405" s="17"/>
      <c r="E405" s="17"/>
      <c r="F405" s="17"/>
      <c r="G405" s="18"/>
      <c r="H405" s="17"/>
      <c r="I405" s="17"/>
      <c r="J405" s="17"/>
    </row>
    <row r="406" spans="1:10" x14ac:dyDescent="0.2">
      <c r="A406" s="16"/>
      <c r="B406" s="34"/>
      <c r="C406" s="16"/>
      <c r="D406" s="17"/>
      <c r="E406" s="17"/>
      <c r="F406" s="17"/>
      <c r="G406" s="18"/>
      <c r="H406" s="17"/>
      <c r="I406" s="17"/>
      <c r="J406" s="17"/>
    </row>
    <row r="407" spans="1:10" x14ac:dyDescent="0.2">
      <c r="A407" s="16"/>
      <c r="B407" s="34"/>
      <c r="C407" s="16"/>
      <c r="D407" s="17"/>
      <c r="E407" s="17"/>
      <c r="F407" s="17"/>
      <c r="G407" s="18"/>
      <c r="H407" s="17"/>
      <c r="I407" s="17"/>
      <c r="J407" s="17"/>
    </row>
    <row r="408" spans="1:10" x14ac:dyDescent="0.2">
      <c r="A408" s="16"/>
      <c r="B408" s="34"/>
      <c r="C408" s="16"/>
      <c r="D408" s="17"/>
      <c r="E408" s="17"/>
      <c r="F408" s="17"/>
      <c r="G408" s="18"/>
      <c r="H408" s="17"/>
      <c r="I408" s="17"/>
      <c r="J408" s="17"/>
    </row>
    <row r="409" spans="1:10" x14ac:dyDescent="0.2">
      <c r="A409" s="16"/>
      <c r="B409" s="34"/>
      <c r="C409" s="16"/>
      <c r="D409" s="17"/>
      <c r="E409" s="17"/>
      <c r="F409" s="17"/>
      <c r="G409" s="18"/>
      <c r="H409" s="17"/>
      <c r="I409" s="17"/>
      <c r="J409" s="17"/>
    </row>
    <row r="410" spans="1:10" x14ac:dyDescent="0.2">
      <c r="A410" s="16"/>
      <c r="B410" s="34"/>
      <c r="C410" s="16"/>
      <c r="D410" s="17"/>
      <c r="E410" s="17"/>
      <c r="F410" s="17"/>
      <c r="G410" s="18"/>
      <c r="H410" s="17"/>
      <c r="I410" s="17"/>
      <c r="J410" s="17"/>
    </row>
    <row r="411" spans="1:10" x14ac:dyDescent="0.2">
      <c r="A411" s="16"/>
      <c r="B411" s="34"/>
      <c r="C411" s="16"/>
      <c r="D411" s="17"/>
      <c r="E411" s="17"/>
      <c r="F411" s="17"/>
      <c r="G411" s="18"/>
      <c r="H411" s="17"/>
      <c r="I411" s="17"/>
      <c r="J411" s="17"/>
    </row>
    <row r="412" spans="1:10" x14ac:dyDescent="0.2">
      <c r="A412" s="16"/>
      <c r="B412" s="34"/>
      <c r="C412" s="16"/>
      <c r="D412" s="17"/>
      <c r="E412" s="17"/>
      <c r="F412" s="17"/>
      <c r="G412" s="18"/>
      <c r="H412" s="17"/>
      <c r="I412" s="21"/>
      <c r="J412" s="21"/>
    </row>
    <row r="413" spans="1:10" x14ac:dyDescent="0.2">
      <c r="A413" s="16"/>
      <c r="B413" s="34"/>
      <c r="C413" s="16"/>
      <c r="D413" s="17"/>
      <c r="E413" s="17"/>
      <c r="F413" s="17"/>
      <c r="G413" s="18"/>
      <c r="H413" s="17"/>
      <c r="I413" s="17"/>
      <c r="J413" s="17"/>
    </row>
    <row r="414" spans="1:10" x14ac:dyDescent="0.2">
      <c r="A414" s="16"/>
      <c r="B414" s="34"/>
      <c r="C414" s="16"/>
      <c r="D414" s="17"/>
      <c r="E414" s="17"/>
      <c r="F414" s="17"/>
      <c r="G414" s="18"/>
      <c r="H414" s="17"/>
      <c r="I414" s="17"/>
      <c r="J414" s="17"/>
    </row>
    <row r="415" spans="1:10" x14ac:dyDescent="0.2">
      <c r="A415" s="16"/>
      <c r="B415" s="34"/>
      <c r="C415" s="16"/>
      <c r="D415" s="17"/>
      <c r="E415" s="17"/>
      <c r="F415" s="17"/>
      <c r="G415" s="64"/>
      <c r="H415" s="17"/>
      <c r="I415" s="17"/>
      <c r="J415" s="21"/>
    </row>
    <row r="416" spans="1:10" x14ac:dyDescent="0.2">
      <c r="A416" s="16"/>
      <c r="B416" s="34"/>
      <c r="C416" s="16"/>
      <c r="D416" s="17"/>
      <c r="E416" s="17"/>
      <c r="F416" s="17"/>
      <c r="G416" s="18"/>
      <c r="H416" s="17"/>
      <c r="I416" s="17"/>
      <c r="J416" s="17"/>
    </row>
    <row r="417" spans="1:10" x14ac:dyDescent="0.2">
      <c r="A417" s="16"/>
      <c r="B417" s="34"/>
      <c r="C417" s="16"/>
      <c r="D417" s="17"/>
      <c r="E417" s="31"/>
      <c r="F417" s="17"/>
      <c r="G417" s="18"/>
      <c r="H417" s="17"/>
      <c r="I417" s="17"/>
      <c r="J417" s="17"/>
    </row>
    <row r="418" spans="1:10" x14ac:dyDescent="0.2">
      <c r="A418" s="16"/>
      <c r="B418" s="34"/>
      <c r="C418" s="16"/>
      <c r="D418" s="17"/>
      <c r="E418" s="17"/>
      <c r="F418" s="17"/>
      <c r="G418" s="18"/>
      <c r="H418" s="17"/>
      <c r="I418" s="17"/>
      <c r="J418" s="17"/>
    </row>
    <row r="419" spans="1:10" x14ac:dyDescent="0.2">
      <c r="A419" s="16"/>
      <c r="B419" s="34"/>
      <c r="C419" s="16"/>
      <c r="D419" s="17"/>
      <c r="E419" s="17"/>
      <c r="F419" s="17"/>
      <c r="G419" s="18"/>
      <c r="H419" s="17"/>
      <c r="I419" s="29"/>
      <c r="J419" s="29"/>
    </row>
    <row r="420" spans="1:10" x14ac:dyDescent="0.2">
      <c r="A420" s="16"/>
      <c r="B420" s="34"/>
      <c r="C420" s="16"/>
      <c r="D420" s="17"/>
      <c r="E420" s="17"/>
      <c r="F420" s="17"/>
      <c r="G420" s="18"/>
      <c r="H420" s="17"/>
      <c r="I420" s="17"/>
      <c r="J420" s="17"/>
    </row>
    <row r="421" spans="1:10" x14ac:dyDescent="0.2">
      <c r="A421" s="16"/>
      <c r="B421" s="34"/>
      <c r="C421" s="16"/>
      <c r="D421" s="17"/>
      <c r="E421" s="17"/>
      <c r="F421" s="17"/>
      <c r="G421" s="18"/>
      <c r="H421" s="17"/>
      <c r="I421" s="29"/>
      <c r="J421" s="29"/>
    </row>
    <row r="422" spans="1:10" x14ac:dyDescent="0.2">
      <c r="A422" s="16"/>
      <c r="B422" s="34"/>
      <c r="C422" s="16"/>
      <c r="D422" s="17"/>
      <c r="E422" s="17"/>
      <c r="F422" s="17"/>
      <c r="G422" s="18"/>
      <c r="H422" s="17"/>
      <c r="I422" s="17"/>
      <c r="J422" s="17"/>
    </row>
    <row r="423" spans="1:10" x14ac:dyDescent="0.2">
      <c r="A423" s="16"/>
      <c r="B423" s="34"/>
      <c r="C423" s="16"/>
      <c r="D423" s="17"/>
      <c r="E423" s="17"/>
      <c r="F423" s="17"/>
      <c r="G423" s="18"/>
      <c r="H423" s="17"/>
      <c r="I423" s="17"/>
      <c r="J423" s="17"/>
    </row>
    <row r="424" spans="1:10" x14ac:dyDescent="0.2">
      <c r="A424" s="16"/>
      <c r="B424" s="34"/>
      <c r="C424" s="16"/>
      <c r="D424" s="17"/>
      <c r="E424" s="17"/>
      <c r="F424" s="17"/>
      <c r="G424" s="18"/>
      <c r="H424" s="17"/>
      <c r="I424" s="17"/>
      <c r="J424" s="17"/>
    </row>
    <row r="425" spans="1:10" x14ac:dyDescent="0.2">
      <c r="A425" s="16"/>
      <c r="B425" s="34"/>
      <c r="C425" s="16"/>
      <c r="D425" s="17"/>
      <c r="E425" s="17"/>
      <c r="F425" s="17"/>
      <c r="G425" s="18"/>
      <c r="H425" s="17"/>
      <c r="I425" s="17"/>
      <c r="J425" s="17"/>
    </row>
    <row r="426" spans="1:10" x14ac:dyDescent="0.2">
      <c r="A426" s="16"/>
      <c r="B426" s="34"/>
      <c r="C426" s="16"/>
      <c r="D426" s="17"/>
      <c r="E426" s="17"/>
      <c r="F426" s="17"/>
      <c r="G426" s="18"/>
      <c r="H426" s="17"/>
      <c r="I426" s="17"/>
      <c r="J426" s="17"/>
    </row>
    <row r="427" spans="1:10" x14ac:dyDescent="0.2">
      <c r="A427" s="16"/>
      <c r="B427" s="34"/>
      <c r="C427" s="16"/>
      <c r="D427" s="17"/>
      <c r="E427" s="17"/>
      <c r="F427" s="17"/>
      <c r="G427" s="18"/>
      <c r="H427" s="17"/>
      <c r="I427" s="17"/>
      <c r="J427" s="17"/>
    </row>
    <row r="428" spans="1:10" x14ac:dyDescent="0.2">
      <c r="A428" s="16"/>
      <c r="B428" s="34"/>
      <c r="C428" s="16"/>
      <c r="D428" s="17"/>
      <c r="E428" s="17"/>
      <c r="F428" s="17"/>
      <c r="G428" s="18"/>
      <c r="H428" s="17"/>
      <c r="I428" s="17"/>
      <c r="J428" s="17"/>
    </row>
    <row r="429" spans="1:10" x14ac:dyDescent="0.2">
      <c r="A429" s="16"/>
      <c r="B429" s="34"/>
      <c r="C429" s="16"/>
      <c r="D429" s="17"/>
      <c r="E429" s="17"/>
      <c r="F429" s="17"/>
      <c r="G429" s="18"/>
      <c r="H429" s="17"/>
      <c r="I429" s="17"/>
      <c r="J429" s="17"/>
    </row>
    <row r="430" spans="1:10" x14ac:dyDescent="0.2">
      <c r="A430" s="16"/>
      <c r="B430" s="34"/>
      <c r="C430" s="16"/>
      <c r="D430" s="17"/>
      <c r="E430" s="17"/>
      <c r="F430" s="17"/>
      <c r="G430" s="18"/>
      <c r="H430" s="17"/>
      <c r="I430" s="29"/>
      <c r="J430" s="29"/>
    </row>
    <row r="431" spans="1:10" x14ac:dyDescent="0.2">
      <c r="A431" s="16"/>
      <c r="B431" s="34"/>
      <c r="C431" s="16"/>
      <c r="D431" s="17"/>
      <c r="E431" s="17"/>
      <c r="F431" s="17"/>
      <c r="G431" s="18"/>
      <c r="H431" s="17"/>
      <c r="I431" s="17"/>
      <c r="J431" s="17"/>
    </row>
    <row r="432" spans="1:10" x14ac:dyDescent="0.2">
      <c r="A432" s="16"/>
      <c r="B432" s="34"/>
      <c r="C432" s="16"/>
      <c r="D432" s="17"/>
      <c r="E432" s="17"/>
      <c r="F432" s="17"/>
      <c r="G432" s="18"/>
      <c r="H432" s="17"/>
      <c r="I432" s="29"/>
      <c r="J432" s="29"/>
    </row>
    <row r="433" spans="1:10" x14ac:dyDescent="0.2">
      <c r="A433" s="16"/>
      <c r="B433" s="34"/>
      <c r="C433" s="16"/>
      <c r="D433" s="17"/>
      <c r="E433" s="17"/>
      <c r="F433" s="17"/>
      <c r="G433" s="18"/>
      <c r="H433" s="17"/>
      <c r="I433" s="17"/>
      <c r="J433" s="17"/>
    </row>
    <row r="434" spans="1:10" x14ac:dyDescent="0.2">
      <c r="A434" s="16"/>
      <c r="B434" s="34"/>
      <c r="C434" s="16"/>
      <c r="D434" s="17"/>
      <c r="E434" s="17"/>
      <c r="F434" s="17"/>
      <c r="G434" s="18"/>
      <c r="H434" s="17"/>
      <c r="I434" s="17"/>
      <c r="J434" s="17"/>
    </row>
    <row r="435" spans="1:10" x14ac:dyDescent="0.2">
      <c r="A435" s="16"/>
      <c r="B435" s="34"/>
      <c r="C435" s="16"/>
      <c r="D435" s="17"/>
      <c r="E435" s="17"/>
      <c r="F435" s="17"/>
      <c r="G435" s="18"/>
      <c r="H435" s="17"/>
      <c r="I435" s="17"/>
      <c r="J435" s="17"/>
    </row>
    <row r="436" spans="1:10" x14ac:dyDescent="0.2">
      <c r="A436" s="16"/>
      <c r="B436" s="34"/>
      <c r="C436" s="16"/>
      <c r="D436" s="17"/>
      <c r="E436" s="17"/>
      <c r="F436" s="17"/>
      <c r="G436" s="18"/>
      <c r="H436" s="17"/>
      <c r="I436" s="17"/>
      <c r="J436" s="17"/>
    </row>
    <row r="437" spans="1:10" x14ac:dyDescent="0.2">
      <c r="A437" s="16"/>
      <c r="B437" s="34"/>
      <c r="C437" s="16"/>
      <c r="D437" s="17"/>
      <c r="E437" s="17"/>
      <c r="F437" s="17"/>
      <c r="G437" s="18"/>
      <c r="H437" s="17"/>
      <c r="I437" s="17"/>
      <c r="J437" s="17"/>
    </row>
    <row r="438" spans="1:10" x14ac:dyDescent="0.2">
      <c r="A438" s="16"/>
      <c r="B438" s="34"/>
      <c r="C438" s="16"/>
      <c r="D438" s="17"/>
      <c r="E438" s="17"/>
      <c r="F438" s="17"/>
      <c r="G438" s="18"/>
      <c r="H438" s="17"/>
      <c r="I438" s="17"/>
      <c r="J438" s="17"/>
    </row>
    <row r="439" spans="1:10" x14ac:dyDescent="0.2">
      <c r="A439" s="16"/>
      <c r="B439" s="34"/>
      <c r="C439" s="16"/>
      <c r="D439" s="17"/>
      <c r="E439" s="17"/>
      <c r="F439" s="17"/>
      <c r="G439" s="18"/>
      <c r="H439" s="17"/>
      <c r="I439" s="17"/>
      <c r="J439" s="17"/>
    </row>
    <row r="440" spans="1:10" x14ac:dyDescent="0.2">
      <c r="A440" s="16"/>
      <c r="B440" s="34"/>
      <c r="C440" s="16"/>
      <c r="D440" s="17"/>
      <c r="E440" s="17"/>
      <c r="F440" s="17"/>
      <c r="G440" s="18"/>
      <c r="H440" s="17"/>
      <c r="I440" s="17"/>
      <c r="J440" s="17"/>
    </row>
    <row r="441" spans="1:10" x14ac:dyDescent="0.2">
      <c r="A441" s="16"/>
      <c r="B441" s="34"/>
      <c r="C441" s="16"/>
      <c r="D441" s="17"/>
      <c r="E441" s="17"/>
      <c r="F441" s="17"/>
      <c r="G441" s="18"/>
      <c r="H441" s="17"/>
      <c r="I441" s="17"/>
      <c r="J441" s="17"/>
    </row>
    <row r="442" spans="1:10" x14ac:dyDescent="0.2">
      <c r="A442" s="16"/>
      <c r="B442" s="34"/>
      <c r="C442" s="16"/>
      <c r="D442" s="17"/>
      <c r="E442" s="17"/>
      <c r="F442" s="17"/>
      <c r="G442" s="18"/>
      <c r="H442" s="17"/>
      <c r="I442" s="17"/>
      <c r="J442" s="17"/>
    </row>
    <row r="443" spans="1:10" x14ac:dyDescent="0.2">
      <c r="A443" s="16"/>
      <c r="B443" s="34"/>
      <c r="C443" s="16"/>
      <c r="D443" s="17"/>
      <c r="E443" s="17"/>
      <c r="F443" s="17"/>
      <c r="G443" s="18"/>
      <c r="H443" s="17"/>
      <c r="I443" s="38"/>
      <c r="J443" s="38"/>
    </row>
    <row r="444" spans="1:10" x14ac:dyDescent="0.2">
      <c r="A444" s="16"/>
      <c r="B444" s="34"/>
      <c r="C444" s="16"/>
      <c r="D444" s="17"/>
      <c r="E444" s="17"/>
      <c r="F444" s="17"/>
      <c r="G444" s="18"/>
      <c r="H444" s="17"/>
      <c r="I444" s="17"/>
      <c r="J444" s="17"/>
    </row>
    <row r="445" spans="1:10" x14ac:dyDescent="0.2">
      <c r="A445" s="16"/>
      <c r="B445" s="34"/>
      <c r="C445" s="16"/>
      <c r="D445" s="17"/>
      <c r="E445" s="17"/>
      <c r="F445" s="17"/>
      <c r="G445" s="18"/>
      <c r="H445" s="17"/>
      <c r="I445" s="17"/>
      <c r="J445" s="36"/>
    </row>
    <row r="446" spans="1:10" x14ac:dyDescent="0.2">
      <c r="A446" s="16"/>
      <c r="B446" s="34"/>
      <c r="C446" s="16"/>
      <c r="D446" s="17"/>
      <c r="E446" s="17"/>
      <c r="F446" s="17"/>
      <c r="G446" s="18"/>
      <c r="H446" s="17"/>
      <c r="I446" s="17"/>
      <c r="J446" s="17"/>
    </row>
    <row r="447" spans="1:10" x14ac:dyDescent="0.2">
      <c r="A447" s="16"/>
      <c r="B447" s="34"/>
      <c r="C447" s="16"/>
      <c r="D447" s="17"/>
      <c r="E447" s="17"/>
      <c r="F447" s="17"/>
      <c r="G447" s="18"/>
      <c r="H447" s="17"/>
      <c r="I447" s="17"/>
      <c r="J447" s="17"/>
    </row>
    <row r="448" spans="1:10" x14ac:dyDescent="0.2">
      <c r="A448" s="16"/>
      <c r="B448" s="34"/>
      <c r="C448" s="16"/>
      <c r="D448" s="17"/>
      <c r="E448" s="17"/>
      <c r="F448" s="17"/>
      <c r="G448" s="18"/>
      <c r="H448" s="17"/>
      <c r="I448" s="17"/>
      <c r="J448" s="17"/>
    </row>
    <row r="449" spans="1:10" x14ac:dyDescent="0.2">
      <c r="A449" s="16"/>
      <c r="B449" s="34"/>
      <c r="C449" s="16"/>
      <c r="D449" s="17"/>
      <c r="E449" s="17"/>
      <c r="F449" s="17"/>
      <c r="G449" s="18"/>
      <c r="H449" s="17"/>
      <c r="I449" s="17"/>
      <c r="J449" s="17"/>
    </row>
    <row r="450" spans="1:10" x14ac:dyDescent="0.2">
      <c r="A450" s="16"/>
      <c r="B450" s="34"/>
      <c r="C450" s="16"/>
      <c r="D450" s="17"/>
      <c r="E450" s="17"/>
      <c r="F450" s="17"/>
      <c r="G450" s="18"/>
      <c r="H450" s="17"/>
      <c r="I450" s="17"/>
      <c r="J450" s="17"/>
    </row>
    <row r="451" spans="1:10" x14ac:dyDescent="0.2">
      <c r="A451" s="16"/>
      <c r="B451" s="34"/>
      <c r="C451" s="16"/>
      <c r="D451" s="17"/>
      <c r="E451" s="17"/>
      <c r="F451" s="17"/>
      <c r="G451" s="18"/>
      <c r="H451" s="17"/>
      <c r="I451" s="17"/>
      <c r="J451" s="17"/>
    </row>
    <row r="452" spans="1:10" x14ac:dyDescent="0.2">
      <c r="A452" s="16"/>
      <c r="B452" s="34"/>
      <c r="C452" s="16"/>
      <c r="D452" s="17"/>
      <c r="E452" s="17"/>
      <c r="F452" s="17"/>
      <c r="G452" s="18"/>
      <c r="H452" s="17"/>
      <c r="I452" s="17"/>
      <c r="J452" s="17"/>
    </row>
    <row r="453" spans="1:10" x14ac:dyDescent="0.2">
      <c r="A453" s="16"/>
      <c r="B453" s="34"/>
      <c r="C453" s="16"/>
      <c r="D453" s="17"/>
      <c r="E453" s="17"/>
      <c r="F453" s="17"/>
      <c r="G453" s="18"/>
      <c r="H453" s="17"/>
      <c r="I453" s="17"/>
      <c r="J453" s="17"/>
    </row>
    <row r="454" spans="1:10" x14ac:dyDescent="0.2">
      <c r="A454" s="16"/>
      <c r="B454" s="34"/>
      <c r="C454" s="16"/>
      <c r="D454" s="17"/>
      <c r="E454" s="17"/>
      <c r="F454" s="17"/>
      <c r="G454" s="18"/>
      <c r="H454" s="17"/>
      <c r="I454" s="17"/>
      <c r="J454" s="17"/>
    </row>
    <row r="455" spans="1:10" x14ac:dyDescent="0.2">
      <c r="A455" s="16"/>
      <c r="B455" s="34"/>
      <c r="C455" s="16"/>
      <c r="D455" s="17"/>
      <c r="E455" s="17"/>
      <c r="F455" s="17"/>
      <c r="G455" s="18"/>
      <c r="H455" s="17"/>
      <c r="I455" s="17"/>
      <c r="J455" s="17"/>
    </row>
    <row r="456" spans="1:10" x14ac:dyDescent="0.2">
      <c r="A456" s="16"/>
      <c r="B456" s="34"/>
      <c r="C456" s="16"/>
      <c r="D456" s="17"/>
      <c r="E456" s="17"/>
      <c r="F456" s="17"/>
      <c r="G456" s="18"/>
      <c r="H456" s="17"/>
      <c r="I456" s="17"/>
      <c r="J456" s="17"/>
    </row>
    <row r="457" spans="1:10" x14ac:dyDescent="0.2">
      <c r="A457" s="16"/>
      <c r="B457" s="34"/>
      <c r="C457" s="16"/>
      <c r="D457" s="17"/>
      <c r="E457" s="17"/>
      <c r="F457" s="17"/>
      <c r="G457" s="18"/>
      <c r="H457" s="17"/>
      <c r="I457" s="17"/>
      <c r="J457" s="17"/>
    </row>
    <row r="458" spans="1:10" x14ac:dyDescent="0.2">
      <c r="A458" s="16"/>
      <c r="B458" s="34"/>
      <c r="C458" s="16"/>
      <c r="D458" s="17"/>
      <c r="E458" s="17"/>
      <c r="F458" s="17"/>
      <c r="G458" s="18"/>
      <c r="H458" s="17"/>
      <c r="I458" s="17"/>
      <c r="J458" s="17"/>
    </row>
    <row r="459" spans="1:10" x14ac:dyDescent="0.2">
      <c r="A459" s="16"/>
      <c r="B459" s="34"/>
      <c r="C459" s="16"/>
      <c r="D459" s="17"/>
      <c r="E459" s="17"/>
      <c r="F459" s="17"/>
      <c r="G459" s="18"/>
      <c r="H459" s="17"/>
      <c r="I459" s="17"/>
      <c r="J459" s="17"/>
    </row>
    <row r="460" spans="1:10" x14ac:dyDescent="0.2">
      <c r="A460" s="16"/>
      <c r="B460" s="34"/>
      <c r="C460" s="16"/>
      <c r="D460" s="17"/>
      <c r="E460" s="17"/>
      <c r="F460" s="17"/>
      <c r="G460" s="18"/>
      <c r="H460" s="17"/>
      <c r="I460" s="17"/>
      <c r="J460" s="17"/>
    </row>
    <row r="461" spans="1:10" x14ac:dyDescent="0.2">
      <c r="A461" s="16"/>
      <c r="B461" s="34"/>
      <c r="C461" s="16"/>
      <c r="D461" s="17"/>
      <c r="E461" s="17"/>
      <c r="F461" s="17"/>
      <c r="G461" s="18"/>
      <c r="H461" s="17"/>
      <c r="I461" s="17"/>
      <c r="J461" s="29"/>
    </row>
    <row r="462" spans="1:10" x14ac:dyDescent="0.2">
      <c r="A462" s="16"/>
      <c r="B462" s="34"/>
      <c r="C462" s="16"/>
      <c r="D462" s="17"/>
      <c r="E462" s="17"/>
      <c r="F462" s="17"/>
      <c r="G462" s="18"/>
      <c r="H462" s="17"/>
      <c r="I462" s="17"/>
      <c r="J462" s="17"/>
    </row>
    <row r="463" spans="1:10" x14ac:dyDescent="0.2">
      <c r="A463" s="16"/>
      <c r="B463" s="34"/>
      <c r="C463" s="16"/>
      <c r="D463" s="17"/>
      <c r="E463" s="17"/>
      <c r="F463" s="17"/>
      <c r="G463" s="18"/>
      <c r="H463" s="17"/>
      <c r="I463" s="17"/>
      <c r="J463" s="17"/>
    </row>
    <row r="464" spans="1:10" x14ac:dyDescent="0.2">
      <c r="A464" s="16"/>
      <c r="B464" s="34"/>
      <c r="C464" s="16"/>
      <c r="D464" s="17"/>
      <c r="E464" s="17"/>
      <c r="F464" s="17"/>
      <c r="G464" s="18"/>
      <c r="H464" s="17"/>
      <c r="I464" s="17"/>
      <c r="J464" s="17"/>
    </row>
    <row r="465" spans="1:10" x14ac:dyDescent="0.2">
      <c r="A465" s="16"/>
      <c r="B465" s="34"/>
      <c r="C465" s="16"/>
      <c r="D465" s="17"/>
      <c r="E465" s="17"/>
      <c r="F465" s="17"/>
      <c r="G465" s="18"/>
      <c r="H465" s="17"/>
      <c r="I465" s="17"/>
      <c r="J465" s="17"/>
    </row>
    <row r="466" spans="1:10" x14ac:dyDescent="0.2">
      <c r="A466" s="16"/>
      <c r="B466" s="34"/>
      <c r="C466" s="16"/>
      <c r="D466" s="17"/>
      <c r="E466" s="17"/>
      <c r="F466" s="17"/>
      <c r="G466" s="18"/>
      <c r="H466" s="17"/>
      <c r="I466" s="17"/>
      <c r="J466" s="17"/>
    </row>
    <row r="467" spans="1:10" x14ac:dyDescent="0.2">
      <c r="A467" s="16"/>
      <c r="B467" s="34"/>
      <c r="C467" s="16"/>
      <c r="D467" s="17"/>
      <c r="E467" s="17"/>
      <c r="F467" s="17"/>
      <c r="G467" s="18"/>
      <c r="H467" s="17"/>
      <c r="I467" s="17"/>
      <c r="J467" s="17"/>
    </row>
    <row r="468" spans="1:10" x14ac:dyDescent="0.2">
      <c r="A468" s="16"/>
      <c r="B468" s="34"/>
      <c r="C468" s="16"/>
      <c r="D468" s="17"/>
      <c r="E468" s="17"/>
      <c r="F468" s="17"/>
      <c r="G468" s="18"/>
      <c r="H468" s="17"/>
      <c r="I468" s="17"/>
      <c r="J468" s="17"/>
    </row>
    <row r="469" spans="1:10" x14ac:dyDescent="0.2">
      <c r="A469" s="16"/>
      <c r="B469" s="34"/>
      <c r="C469" s="16"/>
      <c r="D469" s="17"/>
      <c r="E469" s="17"/>
      <c r="F469" s="17"/>
      <c r="G469" s="18"/>
      <c r="H469" s="17"/>
      <c r="I469" s="17"/>
      <c r="J469" s="17"/>
    </row>
    <row r="470" spans="1:10" x14ac:dyDescent="0.2">
      <c r="A470" s="16"/>
      <c r="B470" s="34"/>
      <c r="C470" s="16"/>
      <c r="D470" s="17"/>
      <c r="E470" s="17"/>
      <c r="F470" s="17"/>
      <c r="G470" s="18"/>
      <c r="H470" s="17"/>
      <c r="I470" s="17"/>
      <c r="J470" s="17"/>
    </row>
    <row r="471" spans="1:10" x14ac:dyDescent="0.2">
      <c r="A471" s="16"/>
      <c r="B471" s="34"/>
      <c r="C471" s="16"/>
      <c r="D471" s="17"/>
      <c r="E471" s="17"/>
      <c r="F471" s="17"/>
      <c r="G471" s="18"/>
      <c r="H471" s="17"/>
      <c r="I471" s="17"/>
      <c r="J471" s="17"/>
    </row>
    <row r="472" spans="1:10" x14ac:dyDescent="0.2">
      <c r="A472" s="16"/>
      <c r="B472" s="34"/>
      <c r="C472" s="16"/>
      <c r="D472" s="17"/>
      <c r="E472" s="17"/>
      <c r="F472" s="17"/>
      <c r="G472" s="18"/>
      <c r="H472" s="17"/>
      <c r="I472" s="17"/>
      <c r="J472" s="17"/>
    </row>
    <row r="473" spans="1:10" x14ac:dyDescent="0.2">
      <c r="A473" s="16"/>
      <c r="B473" s="34"/>
      <c r="C473" s="16"/>
      <c r="D473" s="17"/>
      <c r="E473" s="17"/>
      <c r="F473" s="17"/>
      <c r="G473" s="18"/>
      <c r="H473" s="17"/>
      <c r="I473" s="17"/>
      <c r="J473" s="17"/>
    </row>
    <row r="474" spans="1:10" x14ac:dyDescent="0.2">
      <c r="A474" s="16"/>
      <c r="B474" s="34"/>
      <c r="C474" s="16"/>
      <c r="D474" s="17"/>
      <c r="E474" s="17"/>
      <c r="F474" s="17"/>
      <c r="G474" s="18"/>
      <c r="H474" s="17"/>
      <c r="I474" s="17"/>
      <c r="J474" s="17"/>
    </row>
    <row r="475" spans="1:10" x14ac:dyDescent="0.2">
      <c r="A475" s="16"/>
      <c r="B475" s="34"/>
      <c r="C475" s="16"/>
      <c r="D475" s="17"/>
      <c r="E475" s="17"/>
      <c r="F475" s="17"/>
      <c r="G475" s="18"/>
      <c r="H475" s="17"/>
      <c r="I475" s="17"/>
      <c r="J475" s="17"/>
    </row>
    <row r="476" spans="1:10" x14ac:dyDescent="0.2">
      <c r="A476" s="16"/>
      <c r="B476" s="34"/>
      <c r="C476" s="16"/>
      <c r="D476" s="17"/>
      <c r="E476" s="17"/>
      <c r="F476" s="17"/>
      <c r="G476" s="18"/>
      <c r="H476" s="17"/>
      <c r="I476" s="17"/>
      <c r="J476" s="17"/>
    </row>
    <row r="477" spans="1:10" x14ac:dyDescent="0.2">
      <c r="A477" s="16"/>
      <c r="B477" s="34"/>
      <c r="C477" s="16"/>
      <c r="D477" s="17"/>
      <c r="E477" s="17"/>
      <c r="F477" s="17"/>
      <c r="G477" s="18"/>
      <c r="H477" s="17"/>
      <c r="I477" s="17"/>
      <c r="J477" s="17"/>
    </row>
    <row r="478" spans="1:10" x14ac:dyDescent="0.2">
      <c r="A478" s="16"/>
      <c r="B478" s="34"/>
      <c r="C478" s="16"/>
      <c r="D478" s="17"/>
      <c r="E478" s="17"/>
      <c r="F478" s="17"/>
      <c r="G478" s="18"/>
      <c r="H478" s="17"/>
      <c r="I478" s="17"/>
      <c r="J478" s="17"/>
    </row>
    <row r="479" spans="1:10" x14ac:dyDescent="0.2">
      <c r="A479" s="16"/>
      <c r="B479" s="34"/>
      <c r="C479" s="16"/>
      <c r="D479" s="17"/>
      <c r="E479" s="17"/>
      <c r="F479" s="17"/>
      <c r="G479" s="18"/>
      <c r="H479" s="17"/>
      <c r="I479" s="17"/>
      <c r="J479" s="17"/>
    </row>
    <row r="480" spans="1:10" x14ac:dyDescent="0.2">
      <c r="A480" s="16"/>
      <c r="B480" s="34"/>
      <c r="C480" s="16"/>
      <c r="D480" s="17"/>
      <c r="E480" s="17"/>
      <c r="F480" s="17"/>
      <c r="G480" s="18"/>
      <c r="H480" s="17"/>
      <c r="I480" s="17"/>
      <c r="J480" s="17"/>
    </row>
    <row r="481" spans="1:10" x14ac:dyDescent="0.2">
      <c r="A481" s="16"/>
      <c r="B481" s="34"/>
      <c r="C481" s="16"/>
      <c r="D481" s="17"/>
      <c r="E481" s="17"/>
      <c r="F481" s="17"/>
      <c r="G481" s="18"/>
      <c r="H481" s="17"/>
      <c r="I481" s="17"/>
      <c r="J481" s="17"/>
    </row>
    <row r="482" spans="1:10" x14ac:dyDescent="0.2">
      <c r="A482" s="16"/>
      <c r="B482" s="34"/>
      <c r="C482" s="16"/>
      <c r="D482" s="17"/>
      <c r="E482" s="17"/>
      <c r="F482" s="17"/>
      <c r="G482" s="18"/>
      <c r="H482" s="17"/>
      <c r="I482" s="17"/>
      <c r="J482" s="17"/>
    </row>
    <row r="483" spans="1:10" x14ac:dyDescent="0.2">
      <c r="A483" s="16"/>
      <c r="B483" s="34"/>
      <c r="C483" s="16"/>
      <c r="D483" s="17"/>
      <c r="E483" s="17"/>
      <c r="F483" s="17"/>
      <c r="G483" s="18"/>
      <c r="H483" s="17"/>
      <c r="I483" s="17"/>
      <c r="J483" s="17"/>
    </row>
    <row r="484" spans="1:10" x14ac:dyDescent="0.2">
      <c r="A484" s="16"/>
      <c r="B484" s="34"/>
      <c r="C484" s="16"/>
      <c r="D484" s="17"/>
      <c r="E484" s="17"/>
      <c r="F484" s="17"/>
      <c r="G484" s="18"/>
      <c r="H484" s="17"/>
      <c r="I484" s="17"/>
      <c r="J484" s="17"/>
    </row>
    <row r="485" spans="1:10" x14ac:dyDescent="0.2">
      <c r="A485" s="16"/>
      <c r="B485" s="34"/>
      <c r="C485" s="16"/>
      <c r="D485" s="17"/>
      <c r="E485" s="17"/>
      <c r="F485" s="17"/>
      <c r="G485" s="18"/>
      <c r="H485" s="17"/>
      <c r="I485" s="17"/>
      <c r="J485" s="17"/>
    </row>
    <row r="486" spans="1:10" x14ac:dyDescent="0.2">
      <c r="A486" s="16"/>
      <c r="B486" s="34"/>
      <c r="C486" s="16"/>
      <c r="D486" s="17"/>
      <c r="E486" s="17"/>
      <c r="F486" s="17"/>
      <c r="G486" s="18"/>
      <c r="H486" s="17"/>
      <c r="I486" s="17"/>
      <c r="J486" s="17"/>
    </row>
    <row r="487" spans="1:10" x14ac:dyDescent="0.2">
      <c r="A487" s="16"/>
      <c r="B487" s="34"/>
      <c r="C487" s="16"/>
      <c r="D487" s="17"/>
      <c r="E487" s="17"/>
      <c r="F487" s="17"/>
      <c r="G487" s="18"/>
      <c r="H487" s="17"/>
      <c r="I487" s="17"/>
      <c r="J487" s="17"/>
    </row>
    <row r="488" spans="1:10" x14ac:dyDescent="0.2">
      <c r="A488" s="16"/>
      <c r="B488" s="34"/>
      <c r="C488" s="16"/>
      <c r="D488" s="17"/>
      <c r="E488" s="17"/>
      <c r="F488" s="17"/>
      <c r="G488" s="18"/>
      <c r="H488" s="17"/>
      <c r="I488" s="17"/>
      <c r="J488" s="17"/>
    </row>
    <row r="489" spans="1:10" x14ac:dyDescent="0.2">
      <c r="A489" s="16"/>
      <c r="B489" s="34"/>
      <c r="C489" s="16"/>
      <c r="D489" s="17"/>
      <c r="E489" s="17"/>
      <c r="F489" s="17"/>
      <c r="G489" s="18"/>
      <c r="H489" s="17"/>
      <c r="I489" s="17"/>
      <c r="J489" s="17"/>
    </row>
    <row r="490" spans="1:10" x14ac:dyDescent="0.2">
      <c r="A490" s="16"/>
      <c r="B490" s="34"/>
      <c r="C490" s="16"/>
      <c r="D490" s="17"/>
      <c r="E490" s="17"/>
      <c r="F490" s="17"/>
      <c r="G490" s="18"/>
      <c r="H490" s="17"/>
      <c r="I490" s="17"/>
      <c r="J490" s="17"/>
    </row>
    <row r="491" spans="1:10" x14ac:dyDescent="0.2">
      <c r="A491" s="16"/>
      <c r="B491" s="34"/>
      <c r="C491" s="16"/>
      <c r="D491" s="17"/>
      <c r="E491" s="17"/>
      <c r="F491" s="17"/>
      <c r="G491" s="32"/>
      <c r="H491" s="17"/>
      <c r="I491" s="17"/>
      <c r="J491" s="17"/>
    </row>
    <row r="492" spans="1:10" x14ac:dyDescent="0.2">
      <c r="A492" s="16"/>
      <c r="B492" s="34"/>
      <c r="C492" s="16"/>
      <c r="D492" s="17"/>
      <c r="E492" s="17"/>
      <c r="F492" s="17"/>
      <c r="G492" s="63"/>
      <c r="H492" s="17"/>
      <c r="I492" s="17"/>
      <c r="J492" s="17"/>
    </row>
    <row r="493" spans="1:10" x14ac:dyDescent="0.2">
      <c r="A493" s="16"/>
      <c r="B493" s="34"/>
      <c r="C493" s="16"/>
      <c r="D493" s="17"/>
      <c r="E493" s="17"/>
      <c r="F493" s="17"/>
      <c r="G493" s="18"/>
      <c r="H493" s="17"/>
      <c r="I493" s="17"/>
      <c r="J493" s="17"/>
    </row>
    <row r="494" spans="1:10" x14ac:dyDescent="0.2">
      <c r="A494" s="16"/>
      <c r="B494" s="34"/>
      <c r="C494" s="16"/>
      <c r="D494" s="17"/>
      <c r="E494" s="17"/>
      <c r="F494" s="17"/>
      <c r="G494" s="18"/>
      <c r="H494" s="17"/>
      <c r="I494" s="17"/>
      <c r="J494" s="17"/>
    </row>
    <row r="495" spans="1:10" x14ac:dyDescent="0.2">
      <c r="A495" s="16"/>
      <c r="B495" s="34"/>
      <c r="C495" s="16"/>
      <c r="D495" s="17"/>
      <c r="E495" s="17"/>
      <c r="F495" s="17"/>
      <c r="G495" s="18"/>
      <c r="H495" s="17"/>
      <c r="I495" s="17"/>
      <c r="J495" s="17"/>
    </row>
    <row r="496" spans="1:10" x14ac:dyDescent="0.2">
      <c r="A496" s="16"/>
      <c r="B496" s="34"/>
      <c r="C496" s="16"/>
      <c r="D496" s="17"/>
      <c r="E496" s="17"/>
      <c r="F496" s="17"/>
      <c r="G496" s="32"/>
      <c r="H496" s="17"/>
      <c r="I496" s="17"/>
      <c r="J496" s="17"/>
    </row>
    <row r="497" spans="1:11" x14ac:dyDescent="0.2">
      <c r="A497" s="16"/>
      <c r="B497" s="34"/>
      <c r="C497" s="16"/>
      <c r="D497" s="17"/>
      <c r="E497" s="17"/>
      <c r="F497" s="17"/>
      <c r="G497" s="18"/>
      <c r="H497" s="17"/>
      <c r="I497" s="23"/>
      <c r="J497" s="39"/>
      <c r="K497" s="40"/>
    </row>
    <row r="498" spans="1:11" x14ac:dyDescent="0.2">
      <c r="A498" s="16"/>
      <c r="B498" s="34"/>
      <c r="C498" s="16"/>
      <c r="D498" s="17"/>
      <c r="E498" s="17"/>
      <c r="F498" s="17"/>
      <c r="G498" s="33"/>
      <c r="H498" s="17"/>
      <c r="I498" s="17"/>
      <c r="J498" s="17"/>
    </row>
    <row r="499" spans="1:11" x14ac:dyDescent="0.2">
      <c r="A499" s="16"/>
      <c r="B499" s="34"/>
      <c r="C499" s="16"/>
      <c r="D499" s="17"/>
      <c r="E499" s="17"/>
      <c r="F499" s="17"/>
      <c r="G499" s="18"/>
      <c r="H499" s="17"/>
      <c r="I499" s="17"/>
      <c r="J499" s="17"/>
    </row>
    <row r="500" spans="1:11" x14ac:dyDescent="0.2">
      <c r="A500" s="16"/>
      <c r="B500" s="34"/>
      <c r="C500" s="16"/>
      <c r="D500" s="17"/>
      <c r="E500" s="17"/>
      <c r="F500" s="17"/>
      <c r="G500" s="18"/>
      <c r="H500" s="17"/>
      <c r="I500" s="17"/>
      <c r="J500" s="17"/>
    </row>
    <row r="501" spans="1:11" x14ac:dyDescent="0.2">
      <c r="A501" s="16"/>
      <c r="B501" s="34"/>
      <c r="C501" s="16"/>
      <c r="D501" s="17"/>
      <c r="E501" s="17"/>
      <c r="F501" s="17"/>
      <c r="G501" s="18"/>
      <c r="H501" s="17"/>
      <c r="I501" s="17"/>
      <c r="J501" s="17"/>
    </row>
    <row r="502" spans="1:11" x14ac:dyDescent="0.2">
      <c r="A502" s="16"/>
      <c r="B502" s="34"/>
      <c r="C502" s="16"/>
      <c r="D502" s="17"/>
      <c r="E502" s="17"/>
      <c r="F502" s="17"/>
      <c r="G502" s="18"/>
      <c r="H502" s="17"/>
      <c r="I502" s="17"/>
      <c r="J502" s="17"/>
    </row>
    <row r="503" spans="1:11" x14ac:dyDescent="0.2">
      <c r="A503" s="16"/>
      <c r="B503" s="34"/>
      <c r="C503" s="16"/>
      <c r="D503" s="17"/>
      <c r="E503" s="17"/>
      <c r="F503" s="17"/>
      <c r="G503" s="18"/>
      <c r="H503" s="17"/>
      <c r="I503" s="17"/>
      <c r="J503" s="17"/>
    </row>
    <row r="504" spans="1:11" x14ac:dyDescent="0.2">
      <c r="A504" s="16"/>
      <c r="B504" s="34"/>
      <c r="C504" s="16"/>
      <c r="D504" s="17"/>
      <c r="E504" s="17"/>
      <c r="F504" s="17"/>
      <c r="G504" s="18"/>
      <c r="H504" s="17"/>
      <c r="I504" s="17"/>
      <c r="J504" s="17"/>
    </row>
    <row r="505" spans="1:11" x14ac:dyDescent="0.2">
      <c r="A505" s="16"/>
      <c r="B505" s="34"/>
      <c r="C505" s="16"/>
      <c r="D505" s="17"/>
      <c r="E505" s="17"/>
      <c r="F505" s="17"/>
      <c r="G505" s="18"/>
      <c r="H505" s="17"/>
      <c r="I505" s="17"/>
      <c r="J505" s="17"/>
    </row>
    <row r="506" spans="1:11" x14ac:dyDescent="0.2">
      <c r="A506" s="16"/>
      <c r="B506" s="34"/>
      <c r="C506" s="16"/>
      <c r="D506" s="17"/>
      <c r="E506" s="17"/>
      <c r="F506" s="17"/>
      <c r="G506" s="18"/>
      <c r="H506" s="17"/>
      <c r="I506" s="17"/>
      <c r="J506" s="17"/>
    </row>
    <row r="507" spans="1:11" x14ac:dyDescent="0.2">
      <c r="A507" s="16"/>
      <c r="B507" s="34"/>
      <c r="C507" s="16"/>
      <c r="D507" s="17"/>
      <c r="E507" s="17"/>
      <c r="F507" s="17"/>
      <c r="G507" s="18"/>
      <c r="H507" s="17"/>
      <c r="I507" s="17"/>
      <c r="J507" s="17"/>
    </row>
    <row r="508" spans="1:11" x14ac:dyDescent="0.2">
      <c r="A508" s="16"/>
      <c r="B508" s="34"/>
      <c r="C508" s="16"/>
      <c r="D508" s="17"/>
      <c r="E508" s="17"/>
      <c r="F508" s="17"/>
      <c r="G508" s="18"/>
      <c r="H508" s="17"/>
      <c r="I508" s="17"/>
      <c r="J508" s="17"/>
    </row>
    <row r="509" spans="1:11" x14ac:dyDescent="0.2">
      <c r="A509" s="16"/>
      <c r="B509" s="34"/>
      <c r="C509" s="16"/>
      <c r="D509" s="17"/>
      <c r="E509" s="17"/>
      <c r="F509" s="17"/>
      <c r="G509" s="18"/>
      <c r="H509" s="17"/>
      <c r="I509" s="17"/>
      <c r="J509" s="17"/>
    </row>
    <row r="510" spans="1:11" x14ac:dyDescent="0.2">
      <c r="A510" s="16"/>
      <c r="B510" s="34"/>
      <c r="C510" s="16"/>
      <c r="D510" s="17"/>
      <c r="E510" s="17"/>
      <c r="F510" s="17"/>
      <c r="G510" s="18"/>
      <c r="H510" s="17"/>
      <c r="I510" s="17"/>
      <c r="J510" s="17"/>
    </row>
    <row r="511" spans="1:11" x14ac:dyDescent="0.2">
      <c r="A511" s="16"/>
      <c r="B511" s="34"/>
      <c r="C511" s="16"/>
      <c r="D511" s="17"/>
      <c r="E511" s="17"/>
      <c r="F511" s="17"/>
      <c r="G511" s="18"/>
      <c r="H511" s="17"/>
      <c r="I511" s="17"/>
      <c r="J511" s="17"/>
    </row>
    <row r="512" spans="1:11" x14ac:dyDescent="0.2">
      <c r="A512" s="16"/>
      <c r="B512" s="34"/>
      <c r="C512" s="16"/>
      <c r="D512" s="17"/>
      <c r="E512" s="17"/>
      <c r="F512" s="17"/>
      <c r="G512" s="18"/>
      <c r="H512" s="17"/>
      <c r="I512" s="17"/>
      <c r="J512" s="17"/>
    </row>
    <row r="513" spans="1:10" x14ac:dyDescent="0.2">
      <c r="A513" s="16"/>
      <c r="B513" s="34"/>
      <c r="C513" s="16"/>
      <c r="D513" s="17"/>
      <c r="E513" s="17"/>
      <c r="F513" s="17"/>
      <c r="G513" s="18"/>
      <c r="H513" s="17"/>
      <c r="I513" s="17"/>
      <c r="J513" s="17"/>
    </row>
    <row r="514" spans="1:10" x14ac:dyDescent="0.2">
      <c r="A514" s="16"/>
      <c r="B514" s="34"/>
      <c r="C514" s="16"/>
      <c r="D514" s="17"/>
      <c r="E514" s="17"/>
      <c r="F514" s="17"/>
      <c r="G514" s="18"/>
      <c r="H514" s="17"/>
      <c r="I514" s="17"/>
      <c r="J514" s="17"/>
    </row>
    <row r="515" spans="1:10" x14ac:dyDescent="0.2">
      <c r="A515" s="16"/>
      <c r="B515" s="34"/>
      <c r="C515" s="16"/>
      <c r="D515" s="17"/>
      <c r="E515" s="17"/>
      <c r="F515" s="17"/>
      <c r="G515" s="18"/>
      <c r="H515" s="17"/>
      <c r="I515" s="17"/>
      <c r="J515" s="17"/>
    </row>
    <row r="516" spans="1:10" x14ac:dyDescent="0.2">
      <c r="A516" s="16"/>
      <c r="B516" s="34"/>
      <c r="C516" s="16"/>
      <c r="D516" s="17"/>
      <c r="E516" s="17"/>
      <c r="F516" s="17"/>
      <c r="G516" s="18"/>
      <c r="H516" s="17"/>
      <c r="I516" s="17"/>
      <c r="J516" s="17"/>
    </row>
    <row r="517" spans="1:10" x14ac:dyDescent="0.2">
      <c r="A517" s="16"/>
      <c r="B517" s="34"/>
      <c r="C517" s="16"/>
      <c r="D517" s="17"/>
      <c r="E517" s="17"/>
      <c r="F517" s="17"/>
      <c r="G517" s="32"/>
      <c r="H517" s="17"/>
      <c r="I517" s="17"/>
      <c r="J517" s="17"/>
    </row>
    <row r="518" spans="1:10" x14ac:dyDescent="0.2">
      <c r="A518" s="16"/>
      <c r="B518" s="34"/>
      <c r="C518" s="16"/>
      <c r="D518" s="17"/>
      <c r="E518" s="17"/>
      <c r="F518" s="17"/>
      <c r="G518" s="62"/>
      <c r="H518" s="17"/>
      <c r="I518" s="17"/>
      <c r="J518" s="17"/>
    </row>
    <row r="519" spans="1:10" x14ac:dyDescent="0.2">
      <c r="A519" s="16"/>
      <c r="B519" s="34"/>
      <c r="C519" s="16"/>
      <c r="D519" s="17"/>
      <c r="E519" s="17"/>
      <c r="F519" s="17"/>
      <c r="G519" s="18"/>
      <c r="H519" s="17"/>
      <c r="I519" s="17"/>
      <c r="J519" s="17"/>
    </row>
    <row r="520" spans="1:10" x14ac:dyDescent="0.2">
      <c r="A520" s="16"/>
      <c r="B520" s="34"/>
      <c r="C520" s="16"/>
      <c r="D520" s="17"/>
      <c r="E520" s="17"/>
      <c r="F520" s="17"/>
      <c r="G520" s="18"/>
      <c r="H520" s="17"/>
      <c r="I520" s="17"/>
      <c r="J520" s="17"/>
    </row>
    <row r="521" spans="1:10" x14ac:dyDescent="0.2">
      <c r="A521" s="16"/>
      <c r="B521" s="34"/>
      <c r="C521" s="16"/>
      <c r="D521" s="17"/>
      <c r="E521" s="17"/>
      <c r="F521" s="17"/>
      <c r="G521" s="18"/>
      <c r="H521" s="17"/>
      <c r="I521" s="17"/>
      <c r="J521" s="17"/>
    </row>
    <row r="522" spans="1:10" x14ac:dyDescent="0.2">
      <c r="A522" s="16"/>
      <c r="B522" s="34"/>
      <c r="C522" s="16"/>
      <c r="D522" s="17"/>
      <c r="E522" s="17"/>
      <c r="F522" s="17"/>
      <c r="G522" s="18"/>
      <c r="H522" s="17"/>
      <c r="I522" s="17"/>
      <c r="J522" s="17"/>
    </row>
    <row r="523" spans="1:10" x14ac:dyDescent="0.2">
      <c r="A523" s="16"/>
      <c r="B523" s="34"/>
      <c r="C523" s="16"/>
      <c r="D523" s="17"/>
      <c r="E523" s="17"/>
      <c r="F523" s="17"/>
      <c r="G523" s="18"/>
      <c r="H523" s="17"/>
      <c r="I523" s="17"/>
      <c r="J523" s="17"/>
    </row>
    <row r="524" spans="1:10" x14ac:dyDescent="0.2">
      <c r="A524" s="16"/>
      <c r="B524" s="34"/>
      <c r="C524" s="16"/>
      <c r="D524" s="17"/>
      <c r="E524" s="17"/>
      <c r="F524" s="17"/>
      <c r="G524" s="18"/>
      <c r="H524" s="17"/>
      <c r="I524" s="17"/>
      <c r="J524" s="17"/>
    </row>
    <row r="525" spans="1:10" x14ac:dyDescent="0.2">
      <c r="A525" s="16"/>
      <c r="B525" s="34"/>
      <c r="C525" s="16"/>
      <c r="D525" s="17"/>
      <c r="E525" s="17"/>
      <c r="F525" s="17"/>
      <c r="G525" s="18"/>
      <c r="H525" s="17"/>
      <c r="I525" s="17"/>
      <c r="J525" s="17"/>
    </row>
    <row r="526" spans="1:10" x14ac:dyDescent="0.2">
      <c r="A526" s="16"/>
      <c r="B526" s="34"/>
      <c r="C526" s="16"/>
      <c r="D526" s="17"/>
      <c r="E526" s="17"/>
      <c r="F526" s="17"/>
      <c r="G526" s="18"/>
      <c r="H526" s="17"/>
      <c r="I526" s="17"/>
      <c r="J526" s="17"/>
    </row>
    <row r="527" spans="1:10" x14ac:dyDescent="0.2">
      <c r="A527" s="16"/>
      <c r="B527" s="34"/>
      <c r="C527" s="16"/>
      <c r="D527" s="17"/>
      <c r="E527" s="17"/>
      <c r="F527" s="17"/>
      <c r="G527" s="18"/>
      <c r="H527" s="17"/>
      <c r="I527" s="17"/>
      <c r="J527" s="17"/>
    </row>
    <row r="528" spans="1:10" x14ac:dyDescent="0.2">
      <c r="A528" s="16"/>
      <c r="B528" s="34"/>
      <c r="C528" s="16"/>
      <c r="D528" s="17"/>
      <c r="E528" s="17"/>
      <c r="F528" s="17"/>
      <c r="G528" s="18"/>
      <c r="H528" s="17"/>
      <c r="I528" s="17"/>
      <c r="J528" s="17"/>
    </row>
    <row r="529" spans="1:10" x14ac:dyDescent="0.2">
      <c r="A529" s="16"/>
      <c r="B529" s="34"/>
      <c r="C529" s="16"/>
      <c r="D529" s="17"/>
      <c r="E529" s="17"/>
      <c r="F529" s="17"/>
      <c r="G529" s="18"/>
      <c r="H529" s="17"/>
      <c r="I529" s="17"/>
      <c r="J529" s="17"/>
    </row>
    <row r="530" spans="1:10" x14ac:dyDescent="0.2">
      <c r="A530" s="16"/>
      <c r="B530" s="34"/>
      <c r="C530" s="16"/>
      <c r="D530" s="17"/>
      <c r="E530" s="17"/>
      <c r="F530" s="17"/>
      <c r="G530" s="18"/>
      <c r="H530" s="17"/>
      <c r="I530" s="17"/>
      <c r="J530" s="17"/>
    </row>
    <row r="531" spans="1:10" x14ac:dyDescent="0.2">
      <c r="A531" s="16"/>
      <c r="B531" s="34"/>
      <c r="C531" s="16"/>
      <c r="D531" s="17"/>
      <c r="E531" s="17"/>
      <c r="F531" s="17"/>
      <c r="G531" s="18"/>
      <c r="H531" s="17"/>
      <c r="I531" s="17"/>
      <c r="J531" s="17"/>
    </row>
    <row r="532" spans="1:10" x14ac:dyDescent="0.2">
      <c r="A532" s="16"/>
      <c r="B532" s="34"/>
      <c r="C532" s="16"/>
      <c r="D532" s="17"/>
      <c r="E532" s="17"/>
      <c r="F532" s="17"/>
      <c r="G532" s="18"/>
      <c r="H532" s="17"/>
      <c r="I532" s="17"/>
      <c r="J532" s="17"/>
    </row>
    <row r="533" spans="1:10" x14ac:dyDescent="0.2">
      <c r="A533" s="16"/>
      <c r="B533" s="34"/>
      <c r="C533" s="16"/>
      <c r="D533" s="17"/>
      <c r="E533" s="17"/>
      <c r="F533" s="17"/>
      <c r="G533" s="18"/>
      <c r="H533" s="17"/>
      <c r="I533" s="17"/>
      <c r="J533" s="17"/>
    </row>
    <row r="534" spans="1:10" x14ac:dyDescent="0.2">
      <c r="A534" s="16"/>
      <c r="B534" s="34"/>
      <c r="C534" s="16"/>
      <c r="D534" s="17"/>
      <c r="E534" s="17"/>
      <c r="F534" s="17"/>
      <c r="G534" s="18"/>
      <c r="H534" s="17"/>
      <c r="I534" s="17"/>
      <c r="J534" s="17"/>
    </row>
    <row r="535" spans="1:10" x14ac:dyDescent="0.2">
      <c r="A535" s="16"/>
      <c r="B535" s="34"/>
      <c r="C535" s="16"/>
      <c r="D535" s="17"/>
      <c r="E535" s="17"/>
      <c r="F535" s="17"/>
      <c r="G535" s="18"/>
      <c r="H535" s="17"/>
      <c r="I535" s="17"/>
      <c r="J535" s="17"/>
    </row>
    <row r="536" spans="1:10" x14ac:dyDescent="0.2">
      <c r="A536" s="16"/>
      <c r="B536" s="34"/>
      <c r="C536" s="16"/>
      <c r="D536" s="17"/>
      <c r="E536" s="17"/>
      <c r="F536" s="17"/>
      <c r="G536" s="18"/>
      <c r="H536" s="17"/>
      <c r="I536" s="17"/>
      <c r="J536" s="17"/>
    </row>
    <row r="537" spans="1:10" x14ac:dyDescent="0.2">
      <c r="A537" s="16"/>
      <c r="B537" s="34"/>
      <c r="C537" s="16"/>
      <c r="D537" s="17"/>
      <c r="E537" s="17"/>
      <c r="F537" s="17"/>
      <c r="G537" s="18"/>
      <c r="H537" s="17"/>
      <c r="I537" s="17"/>
      <c r="J537" s="17"/>
    </row>
    <row r="538" spans="1:10" x14ac:dyDescent="0.2">
      <c r="A538" s="16"/>
      <c r="B538" s="34"/>
      <c r="C538" s="16"/>
      <c r="D538" s="17"/>
      <c r="E538" s="17"/>
      <c r="F538" s="17"/>
      <c r="G538" s="18"/>
      <c r="H538" s="17"/>
      <c r="I538" s="17"/>
      <c r="J538" s="17"/>
    </row>
    <row r="539" spans="1:10" x14ac:dyDescent="0.2">
      <c r="A539" s="16"/>
      <c r="B539" s="34"/>
      <c r="C539" s="16"/>
      <c r="D539" s="17"/>
      <c r="E539" s="17"/>
      <c r="F539" s="17"/>
      <c r="G539" s="18"/>
      <c r="H539" s="17"/>
      <c r="I539" s="17"/>
      <c r="J539" s="17"/>
    </row>
    <row r="540" spans="1:10" x14ac:dyDescent="0.2">
      <c r="A540" s="16"/>
      <c r="B540" s="34"/>
      <c r="C540" s="16"/>
      <c r="D540" s="17"/>
      <c r="E540" s="17"/>
      <c r="F540" s="17"/>
      <c r="G540" s="18"/>
      <c r="H540" s="17"/>
      <c r="I540" s="17"/>
      <c r="J540" s="17"/>
    </row>
    <row r="541" spans="1:10" x14ac:dyDescent="0.2">
      <c r="A541" s="16"/>
      <c r="B541" s="34"/>
      <c r="C541" s="16"/>
      <c r="D541" s="17"/>
      <c r="E541" s="17"/>
      <c r="F541" s="17"/>
      <c r="G541" s="18"/>
      <c r="H541" s="17"/>
      <c r="I541" s="17"/>
      <c r="J541" s="17"/>
    </row>
    <row r="542" spans="1:10" x14ac:dyDescent="0.2">
      <c r="A542" s="16"/>
      <c r="B542" s="34"/>
      <c r="C542" s="16"/>
      <c r="D542" s="17"/>
      <c r="E542" s="17"/>
      <c r="F542" s="17"/>
      <c r="G542" s="18"/>
      <c r="H542" s="17"/>
      <c r="I542" s="17"/>
      <c r="J542" s="17"/>
    </row>
    <row r="543" spans="1:10" x14ac:dyDescent="0.2">
      <c r="A543" s="16"/>
      <c r="B543" s="34"/>
      <c r="C543" s="16"/>
      <c r="D543" s="17"/>
      <c r="E543" s="17"/>
      <c r="F543" s="17"/>
      <c r="G543" s="18"/>
      <c r="H543" s="17"/>
      <c r="I543" s="17"/>
      <c r="J543" s="17"/>
    </row>
    <row r="544" spans="1:10" x14ac:dyDescent="0.2">
      <c r="A544" s="16"/>
      <c r="B544" s="34"/>
      <c r="C544" s="16"/>
      <c r="D544" s="17"/>
      <c r="E544" s="17"/>
      <c r="F544" s="17"/>
      <c r="G544" s="18"/>
      <c r="H544" s="17"/>
      <c r="I544" s="17"/>
      <c r="J544" s="17"/>
    </row>
    <row r="545" spans="1:10" x14ac:dyDescent="0.2">
      <c r="A545" s="16"/>
      <c r="B545" s="34"/>
      <c r="C545" s="16"/>
      <c r="D545" s="17"/>
      <c r="E545" s="17"/>
      <c r="F545" s="17"/>
      <c r="G545" s="18"/>
      <c r="H545" s="17"/>
      <c r="I545" s="17"/>
      <c r="J545" s="17"/>
    </row>
    <row r="546" spans="1:10" x14ac:dyDescent="0.2">
      <c r="A546" s="16"/>
      <c r="B546" s="34"/>
      <c r="C546" s="16"/>
      <c r="D546" s="17"/>
      <c r="E546" s="17"/>
      <c r="F546" s="17"/>
      <c r="G546" s="18"/>
      <c r="H546" s="17"/>
      <c r="I546" s="17"/>
      <c r="J546" s="17"/>
    </row>
    <row r="547" spans="1:10" x14ac:dyDescent="0.2">
      <c r="A547" s="16"/>
      <c r="B547" s="34"/>
      <c r="C547" s="16"/>
      <c r="D547" s="17"/>
      <c r="E547" s="17"/>
      <c r="F547" s="17"/>
      <c r="G547" s="18"/>
      <c r="H547" s="17"/>
      <c r="I547" s="17"/>
      <c r="J547" s="42"/>
    </row>
    <row r="548" spans="1:10" x14ac:dyDescent="0.2">
      <c r="A548" s="16"/>
      <c r="B548" s="34"/>
      <c r="C548" s="16"/>
      <c r="D548" s="17"/>
      <c r="E548" s="17"/>
      <c r="F548" s="17"/>
      <c r="G548" s="18"/>
      <c r="H548" s="17"/>
      <c r="I548" s="17"/>
      <c r="J548" s="17"/>
    </row>
    <row r="549" spans="1:10" x14ac:dyDescent="0.2">
      <c r="A549" s="16"/>
      <c r="B549" s="34"/>
      <c r="C549" s="16"/>
      <c r="D549" s="17"/>
      <c r="E549" s="17"/>
      <c r="F549" s="17"/>
      <c r="G549" s="18"/>
      <c r="H549" s="17"/>
      <c r="I549" s="17"/>
      <c r="J549" s="17"/>
    </row>
    <row r="550" spans="1:10" x14ac:dyDescent="0.2">
      <c r="A550" s="16"/>
      <c r="B550" s="34"/>
      <c r="C550" s="16"/>
      <c r="D550" s="17"/>
      <c r="E550" s="17"/>
      <c r="F550" s="17"/>
      <c r="G550" s="18"/>
      <c r="H550" s="17"/>
      <c r="I550" s="17"/>
      <c r="J550" s="17"/>
    </row>
    <row r="551" spans="1:10" x14ac:dyDescent="0.2">
      <c r="A551" s="16"/>
      <c r="B551" s="34"/>
      <c r="C551" s="16"/>
      <c r="D551" s="17"/>
      <c r="E551" s="17"/>
      <c r="F551" s="17"/>
      <c r="G551" s="18"/>
      <c r="H551" s="17"/>
      <c r="I551" s="17"/>
      <c r="J551" s="17"/>
    </row>
    <row r="552" spans="1:10" x14ac:dyDescent="0.2">
      <c r="A552" s="16"/>
      <c r="B552" s="34"/>
      <c r="C552" s="16"/>
      <c r="D552" s="17"/>
      <c r="E552" s="17"/>
      <c r="F552" s="17"/>
      <c r="G552" s="18"/>
      <c r="H552" s="17"/>
      <c r="I552" s="17"/>
      <c r="J552" s="17"/>
    </row>
    <row r="553" spans="1:10" x14ac:dyDescent="0.2">
      <c r="A553" s="16"/>
      <c r="B553" s="34"/>
      <c r="C553" s="16"/>
      <c r="D553" s="17"/>
      <c r="E553" s="17"/>
      <c r="F553" s="17"/>
      <c r="G553" s="18"/>
      <c r="H553" s="17"/>
      <c r="I553" s="17"/>
      <c r="J553" s="17"/>
    </row>
    <row r="554" spans="1:10" x14ac:dyDescent="0.2">
      <c r="A554" s="16"/>
      <c r="B554" s="34"/>
      <c r="C554" s="16"/>
      <c r="D554" s="17"/>
      <c r="E554" s="17"/>
      <c r="F554" s="17"/>
      <c r="G554" s="18"/>
      <c r="H554" s="17"/>
      <c r="I554" s="17"/>
      <c r="J554" s="17"/>
    </row>
    <row r="555" spans="1:10" x14ac:dyDescent="0.2">
      <c r="A555" s="16"/>
      <c r="B555" s="34"/>
      <c r="C555" s="16"/>
      <c r="D555" s="17"/>
      <c r="E555" s="17"/>
      <c r="F555" s="17"/>
      <c r="G555" s="18"/>
      <c r="H555" s="17"/>
      <c r="I555" s="17"/>
      <c r="J555" s="17"/>
    </row>
    <row r="556" spans="1:10" x14ac:dyDescent="0.2">
      <c r="A556" s="16"/>
      <c r="B556" s="34"/>
      <c r="C556" s="16"/>
      <c r="D556" s="17"/>
      <c r="E556" s="17"/>
      <c r="F556" s="17"/>
      <c r="G556" s="18"/>
      <c r="H556" s="17"/>
      <c r="I556" s="17"/>
      <c r="J556" s="17"/>
    </row>
    <row r="557" spans="1:10" x14ac:dyDescent="0.2">
      <c r="A557" s="16"/>
      <c r="B557" s="34"/>
      <c r="C557" s="16"/>
      <c r="D557" s="17"/>
      <c r="E557" s="17"/>
      <c r="F557" s="17"/>
      <c r="G557" s="18"/>
      <c r="H557" s="17"/>
      <c r="I557" s="17"/>
      <c r="J557" s="17"/>
    </row>
    <row r="558" spans="1:10" x14ac:dyDescent="0.2">
      <c r="A558" s="16"/>
      <c r="B558" s="34"/>
      <c r="C558" s="16"/>
      <c r="D558" s="17"/>
      <c r="E558" s="17"/>
      <c r="F558" s="17"/>
      <c r="G558" s="18"/>
      <c r="H558" s="17"/>
      <c r="I558" s="17"/>
      <c r="J558" s="17"/>
    </row>
    <row r="559" spans="1:10" x14ac:dyDescent="0.2">
      <c r="A559" s="16"/>
      <c r="B559" s="34"/>
      <c r="C559" s="16"/>
      <c r="D559" s="17"/>
      <c r="E559" s="17"/>
      <c r="F559" s="17"/>
      <c r="G559" s="18"/>
      <c r="H559" s="17"/>
      <c r="I559" s="17"/>
      <c r="J559" s="17"/>
    </row>
    <row r="560" spans="1:10" x14ac:dyDescent="0.2">
      <c r="A560" s="16"/>
      <c r="B560" s="34"/>
      <c r="C560" s="16"/>
      <c r="D560" s="17"/>
      <c r="E560" s="17"/>
      <c r="F560" s="17"/>
      <c r="G560" s="18"/>
      <c r="H560" s="17"/>
      <c r="I560" s="17"/>
      <c r="J560" s="17"/>
    </row>
    <row r="561" spans="1:10" x14ac:dyDescent="0.2">
      <c r="A561" s="16"/>
      <c r="B561" s="34"/>
      <c r="C561" s="16"/>
      <c r="D561" s="17"/>
      <c r="E561" s="17"/>
      <c r="F561" s="17"/>
      <c r="G561" s="18"/>
      <c r="H561" s="17"/>
      <c r="I561" s="17"/>
      <c r="J561" s="17"/>
    </row>
    <row r="562" spans="1:10" x14ac:dyDescent="0.2">
      <c r="A562" s="16"/>
      <c r="B562" s="34"/>
      <c r="C562" s="16"/>
      <c r="D562" s="17"/>
      <c r="E562" s="17"/>
      <c r="F562" s="17"/>
      <c r="G562" s="18"/>
      <c r="H562" s="17"/>
      <c r="I562" s="17"/>
      <c r="J562" s="17"/>
    </row>
    <row r="563" spans="1:10" x14ac:dyDescent="0.2">
      <c r="A563" s="16"/>
      <c r="B563" s="34"/>
      <c r="C563" s="16"/>
      <c r="D563" s="17"/>
      <c r="E563" s="17"/>
      <c r="F563" s="17"/>
      <c r="G563" s="18"/>
      <c r="H563" s="17"/>
      <c r="I563" s="17"/>
      <c r="J563" s="17"/>
    </row>
    <row r="564" spans="1:10" x14ac:dyDescent="0.2">
      <c r="A564" s="16"/>
      <c r="B564" s="34"/>
      <c r="C564" s="16"/>
      <c r="D564" s="17"/>
      <c r="E564" s="17"/>
      <c r="F564" s="17"/>
      <c r="G564" s="18"/>
      <c r="H564" s="17"/>
      <c r="I564" s="17"/>
      <c r="J564" s="17"/>
    </row>
    <row r="565" spans="1:10" x14ac:dyDescent="0.2">
      <c r="A565" s="16"/>
      <c r="B565" s="34"/>
      <c r="C565" s="16"/>
      <c r="D565" s="17"/>
      <c r="E565" s="17"/>
      <c r="F565" s="17"/>
      <c r="G565" s="18"/>
      <c r="H565" s="17"/>
      <c r="I565" s="17"/>
      <c r="J565" s="17"/>
    </row>
    <row r="566" spans="1:10" x14ac:dyDescent="0.2">
      <c r="A566" s="16"/>
      <c r="B566" s="34"/>
      <c r="C566" s="16"/>
      <c r="D566" s="17"/>
      <c r="E566" s="17"/>
      <c r="F566" s="17"/>
      <c r="G566" s="18"/>
      <c r="H566" s="17"/>
      <c r="I566" s="17"/>
      <c r="J566" s="17"/>
    </row>
    <row r="567" spans="1:10" x14ac:dyDescent="0.2">
      <c r="A567" s="16"/>
      <c r="B567" s="34"/>
      <c r="C567" s="16"/>
      <c r="D567" s="17"/>
      <c r="E567" s="17"/>
      <c r="F567" s="17"/>
      <c r="G567" s="18"/>
      <c r="H567" s="17"/>
      <c r="I567" s="17"/>
      <c r="J567" s="17"/>
    </row>
    <row r="568" spans="1:10" x14ac:dyDescent="0.2">
      <c r="A568" s="16"/>
      <c r="B568" s="34"/>
      <c r="C568" s="16"/>
      <c r="D568" s="17"/>
      <c r="E568" s="17"/>
      <c r="F568" s="17"/>
      <c r="G568" s="18"/>
      <c r="H568" s="17"/>
      <c r="I568" s="17"/>
      <c r="J568" s="17"/>
    </row>
    <row r="569" spans="1:10" x14ac:dyDescent="0.2">
      <c r="A569" s="16"/>
      <c r="B569" s="34"/>
      <c r="C569" s="16"/>
      <c r="D569" s="17"/>
      <c r="E569" s="17"/>
      <c r="F569" s="17"/>
      <c r="G569" s="18"/>
      <c r="H569" s="17"/>
      <c r="I569" s="17"/>
      <c r="J569" s="17"/>
    </row>
    <row r="570" spans="1:10" x14ac:dyDescent="0.2">
      <c r="A570" s="16"/>
      <c r="B570" s="34"/>
      <c r="C570" s="16"/>
      <c r="D570" s="17"/>
      <c r="E570" s="17"/>
      <c r="F570" s="17"/>
      <c r="G570" s="18"/>
      <c r="H570" s="17"/>
      <c r="I570" s="17"/>
      <c r="J570" s="17"/>
    </row>
    <row r="571" spans="1:10" x14ac:dyDescent="0.2">
      <c r="A571" s="16"/>
      <c r="B571" s="34"/>
      <c r="C571" s="16"/>
      <c r="D571" s="17"/>
      <c r="E571" s="17"/>
      <c r="F571" s="17"/>
      <c r="G571" s="18"/>
      <c r="H571" s="17"/>
      <c r="I571" s="17"/>
      <c r="J571" s="17"/>
    </row>
    <row r="572" spans="1:10" x14ac:dyDescent="0.2">
      <c r="A572" s="16"/>
      <c r="B572" s="34"/>
      <c r="C572" s="16"/>
      <c r="D572" s="17"/>
      <c r="E572" s="17"/>
      <c r="F572" s="17"/>
      <c r="G572" s="18"/>
      <c r="H572" s="17"/>
      <c r="I572" s="17"/>
      <c r="J572" s="17"/>
    </row>
    <row r="573" spans="1:10" x14ac:dyDescent="0.2">
      <c r="A573" s="16"/>
      <c r="B573" s="34"/>
      <c r="C573" s="16"/>
      <c r="D573" s="17"/>
      <c r="E573" s="17"/>
      <c r="F573" s="17"/>
      <c r="G573" s="18"/>
      <c r="H573" s="17"/>
      <c r="I573" s="17"/>
      <c r="J573" s="17"/>
    </row>
    <row r="574" spans="1:10" x14ac:dyDescent="0.2">
      <c r="A574" s="16"/>
      <c r="B574" s="34"/>
      <c r="C574" s="16"/>
      <c r="D574" s="17"/>
      <c r="E574" s="17"/>
      <c r="F574" s="17"/>
      <c r="G574" s="18"/>
      <c r="H574" s="17"/>
      <c r="I574" s="17"/>
      <c r="J574" s="17"/>
    </row>
    <row r="575" spans="1:10" x14ac:dyDescent="0.2">
      <c r="A575" s="16"/>
      <c r="B575" s="34"/>
      <c r="C575" s="16"/>
      <c r="D575" s="17"/>
      <c r="E575" s="17"/>
      <c r="F575" s="17"/>
      <c r="G575" s="18"/>
      <c r="H575" s="17"/>
      <c r="I575" s="17"/>
      <c r="J575" s="17"/>
    </row>
    <row r="576" spans="1:10" x14ac:dyDescent="0.2">
      <c r="A576" s="16"/>
      <c r="B576" s="34"/>
      <c r="C576" s="16"/>
      <c r="D576" s="17"/>
      <c r="E576" s="17"/>
      <c r="F576" s="17"/>
      <c r="G576" s="18"/>
      <c r="H576" s="17"/>
      <c r="I576" s="17"/>
      <c r="J576" s="17"/>
    </row>
    <row r="577" spans="1:10" x14ac:dyDescent="0.2">
      <c r="A577" s="16"/>
      <c r="B577" s="34"/>
      <c r="C577" s="16"/>
      <c r="D577" s="17"/>
      <c r="E577" s="17"/>
      <c r="F577" s="17"/>
      <c r="G577" s="18"/>
      <c r="H577" s="17"/>
      <c r="I577" s="17"/>
      <c r="J577" s="17"/>
    </row>
    <row r="578" spans="1:10" x14ac:dyDescent="0.2">
      <c r="A578" s="16"/>
      <c r="B578" s="34"/>
      <c r="C578" s="16"/>
      <c r="D578" s="17"/>
      <c r="E578" s="17"/>
      <c r="F578" s="17"/>
      <c r="G578" s="18"/>
      <c r="H578" s="17"/>
      <c r="I578" s="17"/>
      <c r="J578" s="17"/>
    </row>
    <row r="579" spans="1:10" x14ac:dyDescent="0.2">
      <c r="A579" s="16"/>
      <c r="B579" s="34"/>
      <c r="C579" s="16"/>
      <c r="D579" s="17"/>
      <c r="E579" s="17"/>
      <c r="F579" s="17"/>
      <c r="G579" s="18"/>
      <c r="H579" s="17"/>
      <c r="I579" s="17"/>
      <c r="J579" s="17"/>
    </row>
    <row r="580" spans="1:10" x14ac:dyDescent="0.2">
      <c r="A580" s="16"/>
      <c r="B580" s="34"/>
      <c r="C580" s="16"/>
      <c r="D580" s="17"/>
      <c r="E580" s="17"/>
      <c r="F580" s="17"/>
      <c r="G580" s="18"/>
      <c r="H580" s="17"/>
      <c r="I580" s="17"/>
      <c r="J580" s="17"/>
    </row>
    <row r="581" spans="1:10" x14ac:dyDescent="0.2">
      <c r="A581" s="16"/>
      <c r="B581" s="34"/>
      <c r="C581" s="16"/>
      <c r="D581" s="17"/>
      <c r="E581" s="17"/>
      <c r="F581" s="17"/>
      <c r="G581" s="18"/>
      <c r="H581" s="17"/>
      <c r="I581" s="17"/>
      <c r="J581" s="17"/>
    </row>
    <row r="582" spans="1:10" x14ac:dyDescent="0.2">
      <c r="A582" s="16"/>
      <c r="B582" s="34"/>
      <c r="C582" s="16"/>
      <c r="D582" s="17"/>
      <c r="E582" s="17"/>
      <c r="F582" s="17"/>
      <c r="G582" s="18"/>
      <c r="H582" s="17"/>
      <c r="I582" s="17"/>
      <c r="J582" s="17"/>
    </row>
    <row r="583" spans="1:10" x14ac:dyDescent="0.2">
      <c r="A583" s="16"/>
      <c r="B583" s="34"/>
      <c r="C583" s="16"/>
      <c r="D583" s="17"/>
      <c r="E583" s="17"/>
      <c r="F583" s="17"/>
      <c r="G583" s="18"/>
      <c r="H583" s="17"/>
      <c r="I583" s="21"/>
      <c r="J583" s="21"/>
    </row>
    <row r="584" spans="1:10" x14ac:dyDescent="0.2">
      <c r="A584" s="16"/>
      <c r="B584" s="34"/>
      <c r="C584" s="16"/>
      <c r="D584" s="17"/>
      <c r="E584" s="17"/>
      <c r="F584" s="17"/>
      <c r="G584" s="18"/>
      <c r="H584" s="17"/>
      <c r="I584" s="17"/>
      <c r="J584" s="17"/>
    </row>
    <row r="585" spans="1:10" x14ac:dyDescent="0.2">
      <c r="A585" s="16"/>
      <c r="B585" s="34"/>
      <c r="C585" s="16"/>
      <c r="D585" s="17"/>
      <c r="E585" s="17"/>
      <c r="F585" s="17"/>
      <c r="G585" s="18"/>
      <c r="H585" s="17"/>
      <c r="I585" s="17"/>
      <c r="J585" s="17"/>
    </row>
    <row r="586" spans="1:10" x14ac:dyDescent="0.2">
      <c r="A586" s="16"/>
      <c r="B586" s="34"/>
      <c r="C586" s="16"/>
      <c r="D586" s="17"/>
      <c r="E586" s="17"/>
      <c r="F586" s="17"/>
      <c r="G586" s="18"/>
      <c r="H586" s="17"/>
      <c r="I586" s="17"/>
      <c r="J586" s="17"/>
    </row>
    <row r="587" spans="1:10" x14ac:dyDescent="0.2">
      <c r="A587" s="16"/>
      <c r="B587" s="34"/>
      <c r="C587" s="16"/>
      <c r="D587" s="17"/>
      <c r="E587" s="17"/>
      <c r="F587" s="17"/>
      <c r="G587" s="18"/>
      <c r="H587" s="17"/>
      <c r="I587" s="17"/>
      <c r="J587" s="17"/>
    </row>
    <row r="588" spans="1:10" x14ac:dyDescent="0.2">
      <c r="A588" s="16"/>
      <c r="B588" s="34"/>
      <c r="C588" s="16"/>
      <c r="D588" s="17"/>
      <c r="E588" s="17"/>
      <c r="F588" s="17"/>
      <c r="G588" s="18"/>
      <c r="H588" s="17"/>
      <c r="I588" s="17"/>
      <c r="J588" s="17"/>
    </row>
    <row r="589" spans="1:10" x14ac:dyDescent="0.2">
      <c r="A589" s="16"/>
      <c r="B589" s="34"/>
      <c r="C589" s="16"/>
      <c r="D589" s="17"/>
      <c r="E589" s="17"/>
      <c r="F589" s="17"/>
      <c r="G589" s="18"/>
      <c r="H589" s="17"/>
      <c r="I589" s="17"/>
      <c r="J589" s="17"/>
    </row>
    <row r="590" spans="1:10" x14ac:dyDescent="0.2">
      <c r="A590" s="16"/>
      <c r="B590" s="34"/>
      <c r="C590" s="16"/>
      <c r="D590" s="17"/>
      <c r="E590" s="17"/>
      <c r="F590" s="17"/>
      <c r="G590" s="18"/>
      <c r="H590" s="17"/>
      <c r="I590" s="17"/>
      <c r="J590" s="17"/>
    </row>
    <row r="591" spans="1:10" x14ac:dyDescent="0.2">
      <c r="A591" s="16"/>
      <c r="B591" s="34"/>
      <c r="C591" s="16"/>
      <c r="D591" s="17"/>
      <c r="E591" s="17"/>
      <c r="F591" s="17"/>
      <c r="G591" s="18"/>
      <c r="H591" s="17"/>
      <c r="I591" s="17"/>
      <c r="J591" s="17"/>
    </row>
    <row r="592" spans="1:10" x14ac:dyDescent="0.2">
      <c r="A592" s="16"/>
      <c r="B592" s="34"/>
      <c r="C592" s="16"/>
      <c r="D592" s="17"/>
      <c r="E592" s="17"/>
      <c r="F592" s="17"/>
      <c r="G592" s="18"/>
      <c r="H592" s="17"/>
      <c r="I592" s="17"/>
      <c r="J592" s="17"/>
    </row>
    <row r="593" spans="1:11" x14ac:dyDescent="0.2">
      <c r="A593" s="16"/>
      <c r="B593" s="34"/>
      <c r="C593" s="16"/>
      <c r="D593" s="17"/>
      <c r="E593" s="17"/>
      <c r="F593" s="17"/>
      <c r="G593" s="18"/>
      <c r="H593" s="17"/>
      <c r="I593" s="17"/>
      <c r="J593" s="23"/>
    </row>
    <row r="594" spans="1:11" x14ac:dyDescent="0.2">
      <c r="A594" s="16"/>
      <c r="B594" s="34"/>
      <c r="C594" s="16"/>
      <c r="D594" s="17"/>
      <c r="E594" s="17"/>
      <c r="F594" s="17"/>
      <c r="G594" s="18"/>
      <c r="H594" s="17"/>
      <c r="I594" s="17"/>
      <c r="J594" s="17"/>
    </row>
    <row r="595" spans="1:11" x14ac:dyDescent="0.2">
      <c r="A595" s="16"/>
      <c r="B595" s="34"/>
      <c r="C595" s="16"/>
      <c r="D595" s="17"/>
      <c r="E595" s="17"/>
      <c r="F595" s="17"/>
      <c r="G595" s="18"/>
      <c r="H595" s="17"/>
      <c r="I595" s="17"/>
      <c r="J595" s="17"/>
    </row>
    <row r="596" spans="1:11" x14ac:dyDescent="0.2">
      <c r="A596" s="16"/>
      <c r="B596" s="34"/>
      <c r="C596" s="16"/>
      <c r="D596" s="17"/>
      <c r="E596" s="17"/>
      <c r="F596" s="17"/>
      <c r="G596" s="18"/>
      <c r="H596" s="17"/>
      <c r="I596" s="17"/>
      <c r="J596" s="17"/>
    </row>
    <row r="597" spans="1:11" x14ac:dyDescent="0.2">
      <c r="A597" s="16"/>
      <c r="B597" s="34"/>
      <c r="C597" s="16"/>
      <c r="D597" s="17"/>
      <c r="E597" s="17"/>
      <c r="F597" s="17"/>
      <c r="G597" s="18"/>
      <c r="H597" s="17"/>
      <c r="I597" s="17"/>
      <c r="J597" s="17"/>
    </row>
    <row r="598" spans="1:11" x14ac:dyDescent="0.2">
      <c r="A598" s="16"/>
      <c r="B598" s="34"/>
      <c r="C598" s="16"/>
      <c r="D598" s="17"/>
      <c r="E598" s="17"/>
      <c r="F598" s="17"/>
      <c r="G598" s="18"/>
      <c r="H598" s="17"/>
      <c r="I598" s="17"/>
      <c r="J598" s="17"/>
    </row>
    <row r="599" spans="1:11" x14ac:dyDescent="0.2">
      <c r="A599" s="16"/>
      <c r="B599" s="34"/>
      <c r="C599" s="16"/>
      <c r="D599" s="17"/>
      <c r="E599" s="17"/>
      <c r="F599" s="17"/>
      <c r="G599" s="18"/>
      <c r="H599" s="17"/>
      <c r="I599" s="17"/>
      <c r="J599" s="17"/>
    </row>
    <row r="600" spans="1:11" x14ac:dyDescent="0.2">
      <c r="A600" s="16"/>
      <c r="B600" s="34"/>
      <c r="C600" s="16"/>
      <c r="D600" s="17"/>
      <c r="E600" s="17"/>
      <c r="F600" s="17"/>
      <c r="G600" s="18"/>
      <c r="H600" s="17"/>
      <c r="I600" s="17"/>
      <c r="J600" s="42"/>
    </row>
    <row r="601" spans="1:11" x14ac:dyDescent="0.2">
      <c r="A601" s="16"/>
      <c r="B601" s="34"/>
      <c r="C601" s="16"/>
      <c r="D601" s="17"/>
      <c r="E601" s="17"/>
      <c r="F601" s="17"/>
      <c r="G601" s="18"/>
      <c r="H601" s="17"/>
      <c r="I601" s="17"/>
      <c r="J601" s="17"/>
    </row>
    <row r="602" spans="1:11" x14ac:dyDescent="0.2">
      <c r="A602" s="16"/>
      <c r="B602" s="34"/>
      <c r="C602" s="16"/>
      <c r="D602" s="17"/>
      <c r="E602" s="17"/>
      <c r="F602" s="17"/>
      <c r="G602" s="18"/>
      <c r="H602" s="17"/>
      <c r="I602" s="17"/>
      <c r="J602" s="17"/>
    </row>
    <row r="603" spans="1:11" x14ac:dyDescent="0.2">
      <c r="A603" s="16"/>
      <c r="B603" s="34"/>
      <c r="C603" s="16"/>
      <c r="D603" s="17"/>
      <c r="E603" s="17"/>
      <c r="F603" s="17"/>
      <c r="G603" s="18"/>
      <c r="H603" s="17"/>
      <c r="I603" s="17"/>
      <c r="J603" s="17"/>
    </row>
    <row r="604" spans="1:11" x14ac:dyDescent="0.2">
      <c r="A604" s="16"/>
      <c r="B604" s="34"/>
      <c r="C604" s="16"/>
      <c r="D604" s="17"/>
      <c r="E604" s="17"/>
      <c r="F604" s="17"/>
      <c r="G604" s="18"/>
      <c r="H604" s="17"/>
      <c r="I604" s="17"/>
      <c r="J604" s="17"/>
    </row>
    <row r="605" spans="1:11" x14ac:dyDescent="0.2">
      <c r="A605" s="16"/>
      <c r="B605" s="34"/>
      <c r="C605" s="16"/>
      <c r="D605" s="17"/>
      <c r="E605" s="17"/>
      <c r="F605" s="17"/>
      <c r="G605" s="18"/>
      <c r="H605" s="17"/>
      <c r="I605" s="17"/>
      <c r="J605" s="17"/>
    </row>
    <row r="606" spans="1:11" x14ac:dyDescent="0.2">
      <c r="A606" s="16"/>
      <c r="B606" s="34"/>
      <c r="C606" s="16"/>
      <c r="D606" s="17"/>
      <c r="E606" s="17"/>
      <c r="F606" s="17"/>
      <c r="G606" s="18"/>
      <c r="H606" s="17"/>
      <c r="I606" s="17"/>
      <c r="J606" s="17"/>
    </row>
    <row r="607" spans="1:11" x14ac:dyDescent="0.2">
      <c r="A607" s="16"/>
      <c r="B607" s="34"/>
      <c r="C607" s="16"/>
      <c r="D607" s="17"/>
      <c r="E607" s="17"/>
      <c r="F607" s="17"/>
      <c r="G607" s="18"/>
      <c r="H607" s="17"/>
      <c r="I607" s="17"/>
      <c r="J607" s="39"/>
      <c r="K607" s="41"/>
    </row>
    <row r="608" spans="1:11" x14ac:dyDescent="0.2">
      <c r="A608" s="16"/>
      <c r="B608" s="34"/>
      <c r="C608" s="16"/>
      <c r="D608" s="17"/>
      <c r="E608" s="17"/>
      <c r="F608" s="17"/>
      <c r="G608" s="18"/>
      <c r="H608" s="17"/>
      <c r="I608" s="23"/>
      <c r="J608" s="17"/>
    </row>
    <row r="609" spans="1:10" x14ac:dyDescent="0.2">
      <c r="A609" s="16"/>
      <c r="B609" s="34"/>
      <c r="C609" s="16"/>
      <c r="D609" s="17"/>
      <c r="E609" s="17"/>
      <c r="F609" s="17"/>
      <c r="G609" s="18"/>
      <c r="H609" s="17"/>
      <c r="I609" s="23"/>
      <c r="J609" s="17"/>
    </row>
    <row r="610" spans="1:10" x14ac:dyDescent="0.2">
      <c r="A610" s="16"/>
      <c r="B610" s="34"/>
      <c r="C610" s="16"/>
      <c r="D610" s="17"/>
      <c r="E610" s="17"/>
      <c r="F610" s="17"/>
      <c r="G610" s="18"/>
      <c r="H610" s="17"/>
      <c r="I610" s="23"/>
      <c r="J610" s="17"/>
    </row>
    <row r="611" spans="1:10" x14ac:dyDescent="0.2">
      <c r="A611" s="16"/>
      <c r="B611" s="34"/>
      <c r="C611" s="16"/>
      <c r="D611" s="17"/>
      <c r="E611" s="17"/>
      <c r="F611" s="17"/>
      <c r="G611" s="18"/>
      <c r="H611" s="17"/>
      <c r="I611" s="23"/>
      <c r="J611" s="17"/>
    </row>
    <row r="612" spans="1:10" x14ac:dyDescent="0.2">
      <c r="A612" s="16"/>
      <c r="B612" s="34"/>
      <c r="C612" s="16"/>
      <c r="D612" s="17"/>
      <c r="E612" s="17"/>
      <c r="F612" s="17"/>
      <c r="G612" s="18"/>
      <c r="H612" s="17"/>
      <c r="I612" s="36"/>
      <c r="J612" s="17"/>
    </row>
    <row r="613" spans="1:10" x14ac:dyDescent="0.2">
      <c r="A613" s="16"/>
      <c r="B613" s="34"/>
      <c r="C613" s="16"/>
      <c r="D613" s="17"/>
      <c r="E613" s="17"/>
      <c r="F613" s="17"/>
      <c r="G613" s="18"/>
      <c r="H613" s="17"/>
      <c r="I613" s="36"/>
      <c r="J613" s="36"/>
    </row>
    <row r="614" spans="1:10" x14ac:dyDescent="0.2">
      <c r="A614" s="16"/>
      <c r="B614" s="34"/>
      <c r="C614" s="16"/>
      <c r="D614" s="17"/>
      <c r="E614" s="17"/>
      <c r="F614" s="17"/>
      <c r="G614" s="18"/>
      <c r="H614" s="17"/>
      <c r="I614" s="23"/>
      <c r="J614" s="17"/>
    </row>
    <row r="615" spans="1:10" x14ac:dyDescent="0.2">
      <c r="A615" s="16"/>
      <c r="B615" s="34"/>
      <c r="C615" s="16"/>
      <c r="D615" s="17"/>
      <c r="E615" s="17"/>
      <c r="F615" s="17"/>
      <c r="G615" s="18"/>
      <c r="H615" s="17"/>
      <c r="I615" s="23"/>
      <c r="J615" s="17"/>
    </row>
    <row r="616" spans="1:10" x14ac:dyDescent="0.2">
      <c r="A616" s="16"/>
      <c r="B616" s="34"/>
      <c r="C616" s="16"/>
      <c r="D616" s="17"/>
      <c r="E616" s="17"/>
      <c r="F616" s="17"/>
      <c r="G616" s="18"/>
      <c r="H616" s="17"/>
      <c r="I616" s="23"/>
      <c r="J616" s="17"/>
    </row>
    <row r="617" spans="1:10" x14ac:dyDescent="0.2">
      <c r="A617" s="16"/>
      <c r="B617" s="34"/>
      <c r="C617" s="16"/>
      <c r="D617" s="17"/>
      <c r="E617" s="17"/>
      <c r="F617" s="17"/>
      <c r="G617" s="18"/>
      <c r="H617" s="17"/>
      <c r="I617" s="23"/>
      <c r="J617" s="17"/>
    </row>
    <row r="618" spans="1:10" x14ac:dyDescent="0.2">
      <c r="A618" s="16"/>
      <c r="B618" s="34"/>
      <c r="C618" s="16"/>
      <c r="D618" s="17"/>
      <c r="E618" s="17"/>
      <c r="F618" s="17"/>
      <c r="G618" s="18"/>
      <c r="H618" s="17"/>
      <c r="I618" s="23"/>
      <c r="J618" s="17"/>
    </row>
    <row r="619" spans="1:10" x14ac:dyDescent="0.2">
      <c r="A619" s="16"/>
      <c r="B619" s="34"/>
      <c r="C619" s="16"/>
      <c r="D619" s="17"/>
      <c r="E619" s="17"/>
      <c r="F619" s="17"/>
      <c r="G619" s="18"/>
      <c r="H619" s="17"/>
      <c r="I619" s="37"/>
      <c r="J619" s="38"/>
    </row>
    <row r="620" spans="1:10" x14ac:dyDescent="0.2">
      <c r="A620" s="16"/>
      <c r="B620" s="34"/>
      <c r="C620" s="16"/>
      <c r="D620" s="17"/>
      <c r="E620" s="17"/>
      <c r="F620" s="17"/>
      <c r="G620" s="18"/>
      <c r="H620" s="17"/>
      <c r="I620" s="37"/>
      <c r="J620" s="38"/>
    </row>
    <row r="621" spans="1:10" x14ac:dyDescent="0.2">
      <c r="A621" s="16"/>
      <c r="B621" s="34"/>
      <c r="C621" s="16"/>
      <c r="D621" s="17"/>
      <c r="E621" s="17"/>
      <c r="F621" s="17"/>
      <c r="G621" s="18"/>
      <c r="H621" s="17"/>
      <c r="I621" s="37"/>
      <c r="J621" s="38"/>
    </row>
    <row r="622" spans="1:10" x14ac:dyDescent="0.2">
      <c r="A622" s="16"/>
      <c r="B622" s="34"/>
      <c r="C622" s="16"/>
      <c r="D622" s="17"/>
      <c r="E622" s="17"/>
      <c r="F622" s="17"/>
      <c r="G622" s="18"/>
      <c r="H622" s="17"/>
      <c r="I622" s="23"/>
      <c r="J622" s="17"/>
    </row>
    <row r="623" spans="1:10" x14ac:dyDescent="0.2">
      <c r="A623" s="16"/>
      <c r="B623" s="34"/>
      <c r="C623" s="16"/>
      <c r="D623" s="17"/>
      <c r="E623" s="17"/>
      <c r="F623" s="17"/>
      <c r="G623" s="18"/>
      <c r="H623" s="17"/>
      <c r="I623" s="23"/>
      <c r="J623" s="17"/>
    </row>
    <row r="624" spans="1:10" x14ac:dyDescent="0.2">
      <c r="A624" s="16"/>
      <c r="B624" s="34"/>
      <c r="C624" s="16"/>
      <c r="D624" s="17"/>
      <c r="E624" s="17"/>
      <c r="F624" s="17"/>
      <c r="G624" s="18"/>
      <c r="H624" s="17"/>
      <c r="I624" s="23"/>
      <c r="J624" s="17"/>
    </row>
    <row r="625" spans="1:10" x14ac:dyDescent="0.2">
      <c r="A625" s="16"/>
      <c r="B625" s="34"/>
      <c r="C625" s="16"/>
      <c r="D625" s="17"/>
      <c r="E625" s="17"/>
      <c r="F625" s="17"/>
      <c r="G625" s="18"/>
      <c r="H625" s="17"/>
      <c r="I625" s="23"/>
      <c r="J625" s="17"/>
    </row>
    <row r="626" spans="1:10" x14ac:dyDescent="0.2">
      <c r="A626" s="16"/>
      <c r="B626" s="34"/>
      <c r="C626" s="16"/>
      <c r="D626" s="17"/>
      <c r="E626" s="17"/>
      <c r="F626" s="17"/>
      <c r="G626" s="18"/>
      <c r="H626" s="17"/>
      <c r="I626" s="23"/>
      <c r="J626" s="17"/>
    </row>
    <row r="627" spans="1:10" x14ac:dyDescent="0.2">
      <c r="A627" s="16"/>
      <c r="B627" s="34"/>
      <c r="C627" s="16"/>
      <c r="D627" s="17"/>
      <c r="E627" s="17"/>
      <c r="F627" s="17"/>
      <c r="G627" s="18"/>
      <c r="H627" s="17"/>
      <c r="I627" s="23"/>
      <c r="J627" s="17"/>
    </row>
    <row r="628" spans="1:10" x14ac:dyDescent="0.2">
      <c r="A628" s="16"/>
      <c r="B628" s="34"/>
      <c r="C628" s="16"/>
      <c r="D628" s="17"/>
      <c r="E628" s="17"/>
      <c r="F628" s="17"/>
      <c r="G628" s="18"/>
      <c r="H628" s="17"/>
      <c r="I628" s="23"/>
      <c r="J628" s="17"/>
    </row>
    <row r="629" spans="1:10" x14ac:dyDescent="0.2">
      <c r="A629" s="16"/>
      <c r="B629" s="34"/>
      <c r="C629" s="16"/>
      <c r="D629" s="17"/>
      <c r="E629" s="17"/>
      <c r="F629" s="17"/>
      <c r="G629" s="18"/>
      <c r="H629" s="17"/>
      <c r="I629" s="23"/>
      <c r="J629" s="17"/>
    </row>
    <row r="630" spans="1:10" x14ac:dyDescent="0.2">
      <c r="A630" s="16"/>
      <c r="B630" s="34"/>
      <c r="C630" s="16"/>
      <c r="D630" s="17"/>
      <c r="E630" s="17"/>
      <c r="F630" s="17"/>
      <c r="G630" s="18"/>
      <c r="H630" s="17"/>
      <c r="I630" s="23"/>
      <c r="J630" s="17"/>
    </row>
    <row r="631" spans="1:10" x14ac:dyDescent="0.2">
      <c r="A631" s="16"/>
      <c r="B631" s="34"/>
      <c r="C631" s="16"/>
      <c r="D631" s="17"/>
      <c r="E631" s="17"/>
      <c r="F631" s="17"/>
      <c r="G631" s="18"/>
      <c r="H631" s="17"/>
      <c r="I631" s="23"/>
      <c r="J631" s="17"/>
    </row>
    <row r="632" spans="1:10" x14ac:dyDescent="0.2">
      <c r="A632" s="16"/>
      <c r="B632" s="34"/>
      <c r="C632" s="16"/>
      <c r="D632" s="17"/>
      <c r="E632" s="17"/>
      <c r="F632" s="17"/>
      <c r="G632" s="18"/>
      <c r="H632" s="17"/>
      <c r="I632" s="23"/>
      <c r="J632" s="17"/>
    </row>
    <row r="633" spans="1:10" x14ac:dyDescent="0.2">
      <c r="A633" s="16"/>
      <c r="B633" s="34"/>
      <c r="C633" s="16"/>
      <c r="D633" s="17"/>
      <c r="E633" s="17"/>
      <c r="F633" s="17"/>
      <c r="G633" s="18"/>
      <c r="H633" s="17"/>
      <c r="I633" s="23"/>
      <c r="J633" s="17"/>
    </row>
    <row r="634" spans="1:10" x14ac:dyDescent="0.2">
      <c r="A634" s="16"/>
      <c r="B634" s="34"/>
      <c r="C634" s="16"/>
      <c r="D634" s="17"/>
      <c r="E634" s="17"/>
      <c r="F634" s="17"/>
      <c r="G634" s="18"/>
      <c r="H634" s="17"/>
      <c r="I634" s="23"/>
      <c r="J634" s="17"/>
    </row>
    <row r="635" spans="1:10" x14ac:dyDescent="0.2">
      <c r="A635" s="16"/>
      <c r="B635" s="34"/>
      <c r="C635" s="16"/>
      <c r="D635" s="17"/>
      <c r="E635" s="17"/>
      <c r="F635" s="17"/>
      <c r="G635" s="18"/>
      <c r="H635" s="17"/>
      <c r="I635" s="23"/>
      <c r="J635" s="17"/>
    </row>
    <row r="636" spans="1:10" x14ac:dyDescent="0.2">
      <c r="A636" s="16"/>
      <c r="B636" s="34"/>
      <c r="C636" s="16"/>
      <c r="D636" s="17"/>
      <c r="E636" s="17"/>
      <c r="F636" s="17"/>
      <c r="G636" s="18"/>
      <c r="H636" s="17"/>
      <c r="I636" s="23"/>
      <c r="J636" s="17"/>
    </row>
    <row r="637" spans="1:10" x14ac:dyDescent="0.2">
      <c r="A637" s="16"/>
      <c r="B637" s="34"/>
      <c r="C637" s="16"/>
      <c r="D637" s="17"/>
      <c r="E637" s="17"/>
      <c r="F637" s="17"/>
      <c r="G637" s="18"/>
      <c r="H637" s="17"/>
      <c r="I637" s="23"/>
      <c r="J637" s="17"/>
    </row>
    <row r="638" spans="1:10" x14ac:dyDescent="0.2">
      <c r="A638" s="16"/>
      <c r="B638" s="34"/>
      <c r="C638" s="16"/>
      <c r="D638" s="17"/>
      <c r="E638" s="17"/>
      <c r="F638" s="17"/>
      <c r="G638" s="18"/>
      <c r="H638" s="17"/>
      <c r="I638" s="23"/>
      <c r="J638" s="17"/>
    </row>
    <row r="639" spans="1:10" x14ac:dyDescent="0.2">
      <c r="A639" s="16"/>
      <c r="B639" s="34"/>
      <c r="C639" s="16"/>
      <c r="D639" s="17"/>
      <c r="E639" s="17"/>
      <c r="F639" s="17"/>
      <c r="G639" s="18"/>
      <c r="H639" s="17"/>
      <c r="I639" s="23"/>
      <c r="J639" s="17"/>
    </row>
    <row r="640" spans="1:10" x14ac:dyDescent="0.2">
      <c r="A640" s="16"/>
      <c r="B640" s="34"/>
      <c r="C640" s="16"/>
      <c r="D640" s="17"/>
      <c r="E640" s="17"/>
      <c r="F640" s="17"/>
      <c r="G640" s="18"/>
      <c r="H640" s="17"/>
      <c r="I640" s="23"/>
      <c r="J640" s="17"/>
    </row>
    <row r="641" spans="1:10" x14ac:dyDescent="0.2">
      <c r="A641" s="16"/>
      <c r="B641" s="34"/>
      <c r="C641" s="16"/>
      <c r="D641" s="17"/>
      <c r="E641" s="17"/>
      <c r="F641" s="17"/>
      <c r="G641" s="18"/>
      <c r="H641" s="17"/>
      <c r="I641" s="36"/>
      <c r="J641" s="36"/>
    </row>
    <row r="642" spans="1:10" x14ac:dyDescent="0.2">
      <c r="A642" s="16"/>
      <c r="B642" s="34"/>
      <c r="C642" s="16"/>
      <c r="D642" s="17"/>
      <c r="E642" s="17"/>
      <c r="F642" s="17"/>
      <c r="G642" s="18"/>
      <c r="H642" s="17"/>
      <c r="I642" s="23"/>
      <c r="J642" s="17"/>
    </row>
    <row r="643" spans="1:10" x14ac:dyDescent="0.2">
      <c r="A643" s="16"/>
      <c r="B643" s="34"/>
      <c r="C643" s="16"/>
      <c r="D643" s="17"/>
      <c r="E643" s="17"/>
      <c r="F643" s="17"/>
      <c r="G643" s="18"/>
      <c r="H643" s="17"/>
      <c r="I643" s="23"/>
      <c r="J643" s="17"/>
    </row>
    <row r="644" spans="1:10" x14ac:dyDescent="0.2">
      <c r="A644" s="16"/>
      <c r="B644" s="34"/>
      <c r="C644" s="16"/>
      <c r="D644" s="17"/>
      <c r="E644" s="17"/>
      <c r="F644" s="17"/>
      <c r="G644" s="18"/>
      <c r="H644" s="17"/>
      <c r="I644" s="23"/>
      <c r="J644" s="17"/>
    </row>
    <row r="645" spans="1:10" x14ac:dyDescent="0.2">
      <c r="A645" s="16"/>
      <c r="B645" s="34"/>
      <c r="C645" s="16"/>
      <c r="D645" s="17"/>
      <c r="E645" s="17"/>
      <c r="F645" s="17"/>
      <c r="G645" s="18"/>
      <c r="H645" s="17"/>
      <c r="I645" s="23"/>
      <c r="J645" s="17"/>
    </row>
    <row r="646" spans="1:10" x14ac:dyDescent="0.2">
      <c r="A646" s="16"/>
      <c r="B646" s="34"/>
      <c r="C646" s="16"/>
      <c r="D646" s="17"/>
      <c r="E646" s="17"/>
      <c r="F646" s="17"/>
      <c r="G646" s="18"/>
      <c r="H646" s="17"/>
      <c r="I646" s="23"/>
      <c r="J646" s="17"/>
    </row>
    <row r="647" spans="1:10" x14ac:dyDescent="0.2">
      <c r="A647" s="16"/>
      <c r="B647" s="34"/>
      <c r="C647" s="16"/>
      <c r="D647" s="17"/>
      <c r="E647" s="17"/>
      <c r="F647" s="17"/>
      <c r="G647" s="18"/>
      <c r="H647" s="17"/>
      <c r="I647" s="23"/>
      <c r="J647" s="17"/>
    </row>
    <row r="648" spans="1:10" x14ac:dyDescent="0.2">
      <c r="A648" s="16"/>
      <c r="B648" s="34"/>
      <c r="C648" s="16"/>
      <c r="D648" s="17"/>
      <c r="E648" s="17"/>
      <c r="F648" s="17"/>
      <c r="G648" s="18"/>
      <c r="H648" s="17"/>
      <c r="I648" s="23"/>
      <c r="J648" s="23"/>
    </row>
    <row r="649" spans="1:10" x14ac:dyDescent="0.2">
      <c r="A649" s="16"/>
      <c r="B649" s="34"/>
      <c r="C649" s="16"/>
      <c r="D649" s="17"/>
      <c r="E649" s="17"/>
      <c r="F649" s="17"/>
      <c r="G649" s="18"/>
      <c r="H649" s="17"/>
      <c r="I649" s="23"/>
      <c r="J649" s="17"/>
    </row>
    <row r="650" spans="1:10" x14ac:dyDescent="0.2">
      <c r="A650" s="16"/>
      <c r="B650" s="34"/>
      <c r="C650" s="16"/>
      <c r="D650" s="17"/>
      <c r="E650" s="17"/>
      <c r="F650" s="17"/>
      <c r="G650" s="18"/>
      <c r="H650" s="17"/>
      <c r="I650" s="23"/>
      <c r="J650" s="23"/>
    </row>
    <row r="651" spans="1:10" x14ac:dyDescent="0.2">
      <c r="A651" s="16"/>
      <c r="B651" s="34"/>
      <c r="C651" s="16"/>
      <c r="D651" s="17"/>
      <c r="E651" s="17"/>
      <c r="F651" s="17"/>
      <c r="G651" s="18"/>
      <c r="H651" s="17"/>
      <c r="I651" s="23"/>
      <c r="J651" s="17"/>
    </row>
    <row r="652" spans="1:10" x14ac:dyDescent="0.2">
      <c r="A652" s="16"/>
      <c r="B652" s="34"/>
      <c r="C652" s="16"/>
      <c r="D652" s="17"/>
      <c r="E652" s="17"/>
      <c r="F652" s="17"/>
      <c r="G652" s="18"/>
      <c r="H652" s="17"/>
      <c r="I652" s="23"/>
      <c r="J652" s="17"/>
    </row>
    <row r="653" spans="1:10" x14ac:dyDescent="0.2">
      <c r="A653" s="16"/>
      <c r="B653" s="34"/>
      <c r="C653" s="16"/>
      <c r="D653" s="17"/>
      <c r="E653" s="17"/>
      <c r="F653" s="17"/>
      <c r="G653" s="18"/>
      <c r="H653" s="17"/>
      <c r="I653" s="23"/>
      <c r="J653" s="17"/>
    </row>
    <row r="654" spans="1:10" x14ac:dyDescent="0.2">
      <c r="A654" s="16"/>
      <c r="B654" s="34"/>
      <c r="C654" s="16"/>
      <c r="D654" s="17"/>
      <c r="E654" s="17"/>
      <c r="F654" s="17"/>
      <c r="G654" s="18"/>
      <c r="H654" s="17"/>
      <c r="I654" s="23"/>
      <c r="J654" s="17"/>
    </row>
    <row r="655" spans="1:10" x14ac:dyDescent="0.2">
      <c r="A655" s="16"/>
      <c r="B655" s="34"/>
      <c r="C655" s="16"/>
      <c r="D655" s="17"/>
      <c r="E655" s="17"/>
      <c r="F655" s="17"/>
      <c r="G655" s="18"/>
      <c r="H655" s="17"/>
      <c r="I655" s="23"/>
      <c r="J655" s="17"/>
    </row>
    <row r="656" spans="1:10" x14ac:dyDescent="0.2">
      <c r="A656" s="16"/>
      <c r="B656" s="34"/>
      <c r="C656" s="16"/>
      <c r="D656" s="17"/>
      <c r="E656" s="17"/>
      <c r="F656" s="17"/>
      <c r="G656" s="18"/>
      <c r="H656" s="17"/>
      <c r="I656" s="23"/>
      <c r="J656" s="23"/>
    </row>
    <row r="657" spans="1:10" x14ac:dyDescent="0.2">
      <c r="A657" s="16"/>
      <c r="B657" s="34"/>
      <c r="C657" s="16"/>
      <c r="D657" s="17"/>
      <c r="E657" s="17"/>
      <c r="F657" s="17"/>
      <c r="G657" s="18"/>
      <c r="H657" s="17"/>
      <c r="I657" s="23"/>
      <c r="J657" s="17"/>
    </row>
    <row r="658" spans="1:10" x14ac:dyDescent="0.2">
      <c r="A658" s="16"/>
      <c r="B658" s="34"/>
      <c r="C658" s="16"/>
      <c r="D658" s="17"/>
      <c r="E658" s="17"/>
      <c r="F658" s="17"/>
      <c r="G658" s="18"/>
      <c r="H658" s="17"/>
      <c r="I658" s="23"/>
      <c r="J658" s="17"/>
    </row>
    <row r="659" spans="1:10" x14ac:dyDescent="0.2">
      <c r="A659" s="16"/>
      <c r="B659" s="34"/>
      <c r="C659" s="16"/>
      <c r="D659" s="17"/>
      <c r="E659" s="17"/>
      <c r="F659" s="17"/>
      <c r="G659" s="18"/>
      <c r="H659" s="17"/>
      <c r="I659" s="23"/>
      <c r="J659" s="17"/>
    </row>
    <row r="660" spans="1:10" x14ac:dyDescent="0.2">
      <c r="A660" s="16"/>
      <c r="B660" s="34"/>
      <c r="C660" s="16"/>
      <c r="D660" s="17"/>
      <c r="E660" s="17"/>
      <c r="F660" s="17"/>
      <c r="G660" s="18"/>
      <c r="H660" s="17"/>
      <c r="I660" s="23"/>
      <c r="J660" s="17"/>
    </row>
    <row r="661" spans="1:10" x14ac:dyDescent="0.2">
      <c r="A661" s="16"/>
      <c r="B661" s="34"/>
      <c r="C661" s="16"/>
      <c r="D661" s="17"/>
      <c r="E661" s="17"/>
      <c r="F661" s="17"/>
      <c r="G661" s="18"/>
      <c r="H661" s="17"/>
      <c r="I661" s="23"/>
      <c r="J661" s="17"/>
    </row>
    <row r="662" spans="1:10" x14ac:dyDescent="0.2">
      <c r="A662" s="16"/>
      <c r="B662" s="34"/>
      <c r="C662" s="16"/>
      <c r="D662" s="17"/>
      <c r="E662" s="17"/>
      <c r="F662" s="17"/>
      <c r="G662" s="18"/>
      <c r="H662" s="17"/>
      <c r="I662" s="23"/>
      <c r="J662" s="17"/>
    </row>
    <row r="663" spans="1:10" x14ac:dyDescent="0.2">
      <c r="A663" s="16"/>
      <c r="B663" s="34"/>
      <c r="C663" s="16"/>
      <c r="D663" s="17"/>
      <c r="E663" s="17"/>
      <c r="F663" s="17"/>
      <c r="G663" s="18"/>
      <c r="H663" s="17"/>
      <c r="I663" s="23"/>
      <c r="J663" s="17"/>
    </row>
    <row r="664" spans="1:10" x14ac:dyDescent="0.2">
      <c r="A664" s="16"/>
      <c r="B664" s="34"/>
      <c r="C664" s="16"/>
      <c r="D664" s="17"/>
      <c r="E664" s="17"/>
      <c r="F664" s="17"/>
      <c r="G664" s="18"/>
      <c r="H664" s="17"/>
      <c r="I664" s="23"/>
      <c r="J664" s="17"/>
    </row>
    <row r="665" spans="1:10" x14ac:dyDescent="0.2">
      <c r="A665" s="16"/>
      <c r="B665" s="34"/>
      <c r="C665" s="16"/>
      <c r="D665" s="17"/>
      <c r="E665" s="17"/>
      <c r="F665" s="17"/>
      <c r="G665" s="18"/>
      <c r="H665" s="17"/>
      <c r="I665" s="17"/>
      <c r="J665" s="17"/>
    </row>
    <row r="666" spans="1:10" x14ac:dyDescent="0.2">
      <c r="A666" s="16"/>
      <c r="B666" s="34"/>
      <c r="C666" s="16"/>
      <c r="D666" s="17"/>
      <c r="E666" s="17"/>
      <c r="F666" s="17"/>
      <c r="G666" s="18"/>
      <c r="H666" s="17"/>
      <c r="I666" s="17"/>
      <c r="J666" s="17"/>
    </row>
    <row r="667" spans="1:10" x14ac:dyDescent="0.2">
      <c r="A667" s="16"/>
      <c r="B667" s="34"/>
      <c r="C667" s="16"/>
      <c r="D667" s="17"/>
      <c r="E667" s="17"/>
      <c r="F667" s="17"/>
      <c r="G667" s="18"/>
      <c r="H667" s="17"/>
      <c r="I667" s="17"/>
      <c r="J667" s="17"/>
    </row>
    <row r="668" spans="1:10" x14ac:dyDescent="0.2">
      <c r="A668" s="16"/>
      <c r="B668" s="34"/>
      <c r="C668" s="16"/>
      <c r="D668" s="17"/>
      <c r="E668" s="17"/>
      <c r="F668" s="17"/>
      <c r="G668" s="18"/>
      <c r="H668" s="17"/>
      <c r="I668" s="17"/>
      <c r="J668" s="17"/>
    </row>
    <row r="669" spans="1:10" x14ac:dyDescent="0.2">
      <c r="A669" s="16"/>
      <c r="B669" s="34"/>
      <c r="C669" s="16"/>
      <c r="D669" s="17"/>
      <c r="E669" s="17"/>
      <c r="F669" s="17"/>
      <c r="G669" s="18"/>
      <c r="H669" s="17"/>
      <c r="I669" s="17"/>
      <c r="J669" s="17"/>
    </row>
    <row r="670" spans="1:10" x14ac:dyDescent="0.2">
      <c r="A670" s="16"/>
      <c r="B670" s="34"/>
      <c r="C670" s="16"/>
      <c r="D670" s="17"/>
      <c r="E670" s="17"/>
      <c r="F670" s="17"/>
      <c r="G670" s="18"/>
      <c r="H670" s="17"/>
      <c r="I670" s="23"/>
      <c r="J670" s="17"/>
    </row>
    <row r="671" spans="1:10" x14ac:dyDescent="0.2">
      <c r="A671" s="16"/>
      <c r="B671" s="34"/>
      <c r="C671" s="16"/>
      <c r="D671" s="17"/>
      <c r="E671" s="17"/>
      <c r="F671" s="17"/>
      <c r="G671" s="18"/>
      <c r="H671" s="17"/>
      <c r="I671" s="23"/>
      <c r="J671" s="17"/>
    </row>
    <row r="672" spans="1:10" x14ac:dyDescent="0.2">
      <c r="A672" s="16"/>
      <c r="B672" s="34"/>
      <c r="C672" s="16"/>
      <c r="D672" s="17"/>
      <c r="E672" s="17"/>
      <c r="F672" s="17"/>
      <c r="G672" s="18"/>
      <c r="H672" s="17"/>
      <c r="I672" s="23"/>
      <c r="J672" s="17"/>
    </row>
    <row r="673" spans="1:11" x14ac:dyDescent="0.2">
      <c r="A673" s="16"/>
      <c r="B673" s="34"/>
      <c r="C673" s="16"/>
      <c r="D673" s="17"/>
      <c r="E673" s="17"/>
      <c r="F673" s="17"/>
      <c r="G673" s="18"/>
      <c r="H673" s="17"/>
      <c r="I673" s="23"/>
      <c r="J673" s="17"/>
    </row>
    <row r="674" spans="1:11" x14ac:dyDescent="0.2">
      <c r="A674" s="16"/>
      <c r="B674" s="34"/>
      <c r="C674" s="16"/>
      <c r="D674" s="17"/>
      <c r="E674" s="17"/>
      <c r="F674" s="17"/>
      <c r="G674" s="18"/>
      <c r="H674" s="17"/>
      <c r="I674" s="23"/>
      <c r="J674" s="17"/>
    </row>
    <row r="675" spans="1:11" x14ac:dyDescent="0.2">
      <c r="A675" s="16"/>
      <c r="B675" s="34"/>
      <c r="C675" s="16"/>
      <c r="D675" s="17"/>
      <c r="E675" s="17"/>
      <c r="F675" s="17"/>
      <c r="G675" s="18"/>
      <c r="H675" s="17"/>
      <c r="I675" s="23"/>
      <c r="J675" s="17"/>
    </row>
    <row r="676" spans="1:11" x14ac:dyDescent="0.2">
      <c r="A676" s="16"/>
      <c r="B676" s="34"/>
      <c r="C676" s="16"/>
      <c r="D676" s="17"/>
      <c r="E676" s="17"/>
      <c r="F676" s="17"/>
      <c r="G676" s="18"/>
      <c r="H676" s="17"/>
      <c r="I676" s="23"/>
      <c r="J676" s="17"/>
    </row>
    <row r="677" spans="1:11" x14ac:dyDescent="0.2">
      <c r="A677" s="16"/>
      <c r="B677" s="34"/>
      <c r="C677" s="16"/>
      <c r="D677" s="17"/>
      <c r="E677" s="17"/>
      <c r="F677" s="17"/>
      <c r="G677" s="18"/>
      <c r="H677" s="17"/>
      <c r="I677" s="23"/>
      <c r="J677" s="17"/>
    </row>
    <row r="678" spans="1:11" x14ac:dyDescent="0.2">
      <c r="A678" s="16"/>
      <c r="B678" s="34"/>
      <c r="C678" s="16"/>
      <c r="D678" s="17"/>
      <c r="E678" s="17"/>
      <c r="F678" s="17"/>
      <c r="G678" s="18"/>
      <c r="H678" s="17"/>
      <c r="I678" s="23"/>
      <c r="J678" s="21"/>
    </row>
    <row r="679" spans="1:11" x14ac:dyDescent="0.2">
      <c r="A679" s="16"/>
      <c r="B679" s="34"/>
      <c r="C679" s="16"/>
      <c r="D679" s="17"/>
      <c r="E679" s="17"/>
      <c r="F679" s="17"/>
      <c r="G679" s="18"/>
      <c r="H679" s="17"/>
      <c r="I679" s="23"/>
      <c r="J679" s="17"/>
    </row>
    <row r="680" spans="1:11" x14ac:dyDescent="0.2">
      <c r="A680" s="16"/>
      <c r="B680" s="34"/>
      <c r="C680" s="16"/>
      <c r="D680" s="17"/>
      <c r="E680" s="17"/>
      <c r="F680" s="17"/>
      <c r="G680" s="18"/>
      <c r="H680" s="17"/>
      <c r="I680" s="23"/>
      <c r="J680" s="17"/>
    </row>
    <row r="681" spans="1:11" x14ac:dyDescent="0.2">
      <c r="A681" s="16"/>
      <c r="B681" s="34"/>
      <c r="C681" s="16"/>
      <c r="D681" s="17"/>
      <c r="E681" s="17"/>
      <c r="F681" s="17"/>
      <c r="G681" s="18"/>
      <c r="H681" s="17"/>
      <c r="I681" s="23"/>
      <c r="J681" s="39"/>
      <c r="K681" s="41"/>
    </row>
    <row r="682" spans="1:11" x14ac:dyDescent="0.2">
      <c r="A682" s="16"/>
      <c r="B682" s="34"/>
      <c r="C682" s="16"/>
      <c r="D682" s="17"/>
      <c r="E682" s="17"/>
      <c r="F682" s="17"/>
      <c r="G682" s="18"/>
      <c r="H682" s="17"/>
      <c r="I682" s="23"/>
      <c r="J682" s="17"/>
    </row>
    <row r="683" spans="1:11" x14ac:dyDescent="0.2">
      <c r="A683" s="16"/>
      <c r="B683" s="34"/>
      <c r="C683" s="16"/>
      <c r="D683" s="17"/>
      <c r="E683" s="17"/>
      <c r="F683" s="17"/>
      <c r="G683" s="18"/>
      <c r="H683" s="17"/>
      <c r="I683" s="23"/>
      <c r="J683" s="17"/>
    </row>
    <row r="684" spans="1:11" x14ac:dyDescent="0.2">
      <c r="A684" s="16"/>
      <c r="B684" s="34"/>
      <c r="C684" s="16"/>
      <c r="D684" s="17"/>
      <c r="E684" s="17"/>
      <c r="F684" s="17"/>
      <c r="G684" s="18"/>
      <c r="H684" s="17"/>
      <c r="I684" s="23"/>
      <c r="J684" s="17"/>
    </row>
    <row r="685" spans="1:11" x14ac:dyDescent="0.2">
      <c r="A685" s="16"/>
      <c r="B685" s="34"/>
      <c r="C685" s="16"/>
      <c r="D685" s="17"/>
      <c r="E685" s="17"/>
      <c r="F685" s="17"/>
      <c r="G685" s="18"/>
      <c r="H685" s="17"/>
      <c r="I685" s="23"/>
      <c r="J685" s="17"/>
    </row>
    <row r="686" spans="1:11" x14ac:dyDescent="0.2">
      <c r="A686" s="16"/>
      <c r="B686" s="34"/>
      <c r="C686" s="16"/>
      <c r="D686" s="17"/>
      <c r="E686" s="17"/>
      <c r="F686" s="17"/>
      <c r="G686" s="18"/>
      <c r="H686" s="17"/>
      <c r="I686" s="23"/>
      <c r="J686" s="17"/>
    </row>
    <row r="687" spans="1:11" x14ac:dyDescent="0.2">
      <c r="A687" s="16"/>
      <c r="B687" s="34"/>
      <c r="C687" s="16"/>
      <c r="D687" s="17"/>
      <c r="E687" s="17"/>
      <c r="F687" s="17"/>
      <c r="G687" s="18"/>
      <c r="H687" s="17"/>
      <c r="I687" s="23"/>
      <c r="J687" s="17"/>
    </row>
    <row r="688" spans="1:11" x14ac:dyDescent="0.2">
      <c r="A688" s="16"/>
      <c r="B688" s="34"/>
      <c r="C688" s="16"/>
      <c r="D688" s="17"/>
      <c r="E688" s="17"/>
      <c r="F688" s="17"/>
      <c r="G688" s="18"/>
      <c r="H688" s="17"/>
      <c r="I688" s="23"/>
      <c r="J688" s="17"/>
    </row>
    <row r="689" spans="1:10" x14ac:dyDescent="0.2">
      <c r="A689" s="16"/>
      <c r="B689" s="34"/>
      <c r="C689" s="16"/>
      <c r="D689" s="17"/>
      <c r="E689" s="17"/>
      <c r="F689" s="17"/>
      <c r="G689" s="18"/>
      <c r="H689" s="17"/>
      <c r="I689" s="23"/>
      <c r="J689" s="17"/>
    </row>
    <row r="690" spans="1:10" x14ac:dyDescent="0.2">
      <c r="A690" s="16"/>
      <c r="B690" s="34"/>
      <c r="C690" s="16"/>
      <c r="D690" s="17"/>
      <c r="E690" s="17"/>
      <c r="F690" s="17"/>
      <c r="G690" s="18"/>
      <c r="H690" s="17"/>
      <c r="I690" s="23"/>
      <c r="J690" s="17"/>
    </row>
    <row r="691" spans="1:10" x14ac:dyDescent="0.2">
      <c r="A691" s="16"/>
      <c r="B691" s="34"/>
      <c r="C691" s="16"/>
      <c r="D691" s="17"/>
      <c r="E691" s="17"/>
      <c r="F691" s="17"/>
      <c r="G691" s="18"/>
      <c r="H691" s="17"/>
      <c r="I691" s="23"/>
      <c r="J691" s="17"/>
    </row>
    <row r="692" spans="1:10" x14ac:dyDescent="0.2">
      <c r="A692" s="16"/>
      <c r="B692" s="34"/>
      <c r="C692" s="16"/>
      <c r="D692" s="17"/>
      <c r="E692" s="17"/>
      <c r="F692" s="17"/>
      <c r="G692" s="18"/>
      <c r="H692" s="17"/>
      <c r="I692" s="23"/>
      <c r="J692" s="17"/>
    </row>
    <row r="693" spans="1:10" x14ac:dyDescent="0.2">
      <c r="A693" s="16"/>
      <c r="B693" s="34"/>
      <c r="C693" s="16"/>
      <c r="D693" s="17"/>
      <c r="E693" s="17"/>
      <c r="F693" s="17"/>
      <c r="G693" s="18"/>
      <c r="H693" s="17"/>
      <c r="I693" s="23"/>
      <c r="J693" s="17"/>
    </row>
    <row r="694" spans="1:10" x14ac:dyDescent="0.2">
      <c r="A694" s="16"/>
      <c r="B694" s="34"/>
      <c r="C694" s="16"/>
      <c r="D694" s="17"/>
      <c r="E694" s="17"/>
      <c r="F694" s="17"/>
      <c r="G694" s="18"/>
      <c r="H694" s="17"/>
      <c r="I694" s="23"/>
      <c r="J694" s="17"/>
    </row>
    <row r="695" spans="1:10" x14ac:dyDescent="0.2">
      <c r="A695" s="16"/>
      <c r="B695" s="34"/>
      <c r="C695" s="16"/>
      <c r="D695" s="17"/>
      <c r="E695" s="17"/>
      <c r="F695" s="17"/>
      <c r="G695" s="18"/>
      <c r="H695" s="17"/>
      <c r="I695" s="23"/>
      <c r="J695" s="17"/>
    </row>
    <row r="696" spans="1:10" x14ac:dyDescent="0.2">
      <c r="A696" s="16"/>
      <c r="B696" s="34"/>
      <c r="C696" s="16"/>
      <c r="D696" s="17"/>
      <c r="E696" s="17"/>
      <c r="F696" s="17"/>
      <c r="G696" s="18"/>
      <c r="H696" s="17"/>
      <c r="I696" s="23"/>
      <c r="J696" s="17"/>
    </row>
    <row r="697" spans="1:10" x14ac:dyDescent="0.2">
      <c r="A697" s="16"/>
      <c r="B697" s="34"/>
      <c r="C697" s="16"/>
      <c r="D697" s="17"/>
      <c r="E697" s="17"/>
      <c r="F697" s="17"/>
      <c r="G697" s="18"/>
      <c r="H697" s="17"/>
      <c r="I697" s="23"/>
      <c r="J697" s="17"/>
    </row>
    <row r="698" spans="1:10" x14ac:dyDescent="0.2">
      <c r="A698" s="16"/>
      <c r="B698" s="34"/>
      <c r="C698" s="16"/>
      <c r="D698" s="17"/>
      <c r="E698" s="17"/>
      <c r="F698" s="17"/>
      <c r="G698" s="18"/>
      <c r="H698" s="17"/>
      <c r="I698" s="23"/>
      <c r="J698" s="17"/>
    </row>
    <row r="699" spans="1:10" x14ac:dyDescent="0.2">
      <c r="A699" s="16"/>
      <c r="B699" s="34"/>
      <c r="C699" s="16"/>
      <c r="D699" s="17"/>
      <c r="E699" s="17"/>
      <c r="F699" s="17"/>
      <c r="G699" s="18"/>
      <c r="H699" s="17"/>
      <c r="I699" s="23"/>
      <c r="J699" s="17"/>
    </row>
    <row r="700" spans="1:10" x14ac:dyDescent="0.2">
      <c r="A700" s="16"/>
      <c r="B700" s="34"/>
      <c r="C700" s="16"/>
      <c r="D700" s="17"/>
      <c r="E700" s="17"/>
      <c r="F700" s="17"/>
      <c r="G700" s="18"/>
      <c r="H700" s="17"/>
      <c r="I700" s="23"/>
      <c r="J700" s="17"/>
    </row>
    <row r="701" spans="1:10" x14ac:dyDescent="0.2">
      <c r="A701" s="16"/>
      <c r="B701" s="34"/>
      <c r="C701" s="16"/>
      <c r="D701" s="17"/>
      <c r="E701" s="17"/>
      <c r="F701" s="17"/>
      <c r="G701" s="18"/>
      <c r="H701" s="17"/>
      <c r="I701" s="23"/>
      <c r="J701" s="17"/>
    </row>
    <row r="702" spans="1:10" x14ac:dyDescent="0.2">
      <c r="A702" s="16"/>
      <c r="B702" s="34"/>
      <c r="C702" s="16"/>
      <c r="D702" s="17"/>
      <c r="E702" s="17"/>
      <c r="F702" s="17"/>
      <c r="G702" s="18"/>
      <c r="H702" s="17"/>
      <c r="I702" s="23"/>
      <c r="J702" s="23"/>
    </row>
    <row r="703" spans="1:10" x14ac:dyDescent="0.2">
      <c r="A703" s="16"/>
      <c r="B703" s="34"/>
      <c r="C703" s="16"/>
      <c r="D703" s="17"/>
      <c r="E703" s="17"/>
      <c r="F703" s="17"/>
      <c r="G703" s="18"/>
      <c r="H703" s="17"/>
      <c r="I703" s="23"/>
      <c r="J703" s="17"/>
    </row>
    <row r="704" spans="1:10" x14ac:dyDescent="0.2">
      <c r="A704" s="16"/>
      <c r="B704" s="34"/>
      <c r="C704" s="16"/>
      <c r="D704" s="17"/>
      <c r="E704" s="17"/>
      <c r="F704" s="17"/>
      <c r="G704" s="18"/>
      <c r="H704" s="17"/>
      <c r="I704" s="23"/>
      <c r="J704" s="17"/>
    </row>
    <row r="705" spans="1:10" x14ac:dyDescent="0.2">
      <c r="A705" s="16"/>
      <c r="B705" s="34"/>
      <c r="C705" s="16"/>
      <c r="D705" s="17"/>
      <c r="E705" s="17"/>
      <c r="F705" s="17"/>
      <c r="G705" s="18"/>
      <c r="H705" s="17"/>
      <c r="I705" s="23"/>
      <c r="J705" s="17"/>
    </row>
    <row r="706" spans="1:10" x14ac:dyDescent="0.2">
      <c r="A706" s="16"/>
      <c r="B706" s="34"/>
      <c r="C706" s="16"/>
      <c r="D706" s="17"/>
      <c r="E706" s="17"/>
      <c r="F706" s="17"/>
      <c r="G706" s="18"/>
      <c r="H706" s="17"/>
      <c r="I706" s="23"/>
      <c r="J706" s="17"/>
    </row>
    <row r="707" spans="1:10" x14ac:dyDescent="0.2">
      <c r="A707" s="16"/>
      <c r="B707" s="34"/>
      <c r="C707" s="16"/>
      <c r="D707" s="17"/>
      <c r="E707" s="17"/>
      <c r="F707" s="17"/>
      <c r="G707" s="18"/>
      <c r="H707" s="17"/>
      <c r="I707" s="23"/>
      <c r="J707" s="17"/>
    </row>
    <row r="708" spans="1:10" x14ac:dyDescent="0.2">
      <c r="A708" s="16"/>
      <c r="B708" s="34"/>
      <c r="C708" s="16"/>
      <c r="D708" s="17"/>
      <c r="E708" s="17"/>
      <c r="F708" s="17"/>
      <c r="G708" s="18"/>
      <c r="H708" s="17"/>
      <c r="I708" s="23"/>
      <c r="J708" s="17"/>
    </row>
    <row r="709" spans="1:10" x14ac:dyDescent="0.2">
      <c r="A709" s="16"/>
      <c r="B709" s="34"/>
      <c r="C709" s="16"/>
      <c r="D709" s="17"/>
      <c r="E709" s="17"/>
      <c r="F709" s="17"/>
      <c r="G709" s="18"/>
      <c r="H709" s="17"/>
      <c r="I709" s="23"/>
      <c r="J709" s="23"/>
    </row>
    <row r="710" spans="1:10" x14ac:dyDescent="0.2">
      <c r="A710" s="16"/>
      <c r="B710" s="34"/>
      <c r="C710" s="16"/>
      <c r="D710" s="17"/>
      <c r="E710" s="17"/>
      <c r="F710" s="17"/>
      <c r="G710" s="18"/>
      <c r="H710" s="17"/>
      <c r="I710" s="23"/>
      <c r="J710" s="17"/>
    </row>
    <row r="711" spans="1:10" x14ac:dyDescent="0.2">
      <c r="A711" s="16"/>
      <c r="B711" s="34"/>
      <c r="C711" s="16"/>
      <c r="D711" s="17"/>
      <c r="E711" s="17"/>
      <c r="F711" s="17"/>
      <c r="G711" s="18"/>
      <c r="H711" s="17"/>
      <c r="I711" s="37"/>
      <c r="J711" s="29"/>
    </row>
    <row r="712" spans="1:10" x14ac:dyDescent="0.2">
      <c r="A712" s="16"/>
      <c r="B712" s="34"/>
      <c r="C712" s="16"/>
      <c r="D712" s="17"/>
      <c r="E712" s="17"/>
      <c r="F712" s="17"/>
      <c r="G712" s="18"/>
      <c r="H712" s="17"/>
      <c r="I712" s="23"/>
      <c r="J712" s="17"/>
    </row>
    <row r="713" spans="1:10" x14ac:dyDescent="0.2">
      <c r="A713" s="16"/>
      <c r="B713" s="34"/>
      <c r="C713" s="16"/>
      <c r="D713" s="17"/>
      <c r="E713" s="17"/>
      <c r="F713" s="17"/>
      <c r="G713" s="18"/>
      <c r="H713" s="17"/>
      <c r="I713" s="23"/>
      <c r="J713" s="17"/>
    </row>
    <row r="714" spans="1:10" x14ac:dyDescent="0.2">
      <c r="A714" s="16"/>
      <c r="B714" s="34"/>
      <c r="C714" s="16"/>
      <c r="D714" s="17"/>
      <c r="E714" s="17"/>
      <c r="F714" s="17"/>
      <c r="G714" s="18"/>
      <c r="H714" s="17"/>
      <c r="I714" s="23"/>
      <c r="J714" s="17"/>
    </row>
    <row r="715" spans="1:10" x14ac:dyDescent="0.2">
      <c r="A715" s="16"/>
      <c r="B715" s="34"/>
      <c r="C715" s="16"/>
      <c r="D715" s="17"/>
      <c r="E715" s="17"/>
      <c r="F715" s="17"/>
      <c r="G715" s="18"/>
      <c r="H715" s="17"/>
      <c r="I715" s="23"/>
      <c r="J715" s="17"/>
    </row>
    <row r="716" spans="1:10" x14ac:dyDescent="0.2">
      <c r="A716" s="16"/>
      <c r="B716" s="34"/>
      <c r="C716" s="16"/>
      <c r="D716" s="17"/>
      <c r="E716" s="17"/>
      <c r="F716" s="17"/>
      <c r="G716" s="18"/>
      <c r="H716" s="17"/>
      <c r="I716" s="23"/>
      <c r="J716" s="36"/>
    </row>
    <row r="717" spans="1:10" x14ac:dyDescent="0.2">
      <c r="A717" s="16"/>
      <c r="B717" s="34"/>
      <c r="C717" s="16"/>
      <c r="D717" s="17"/>
      <c r="E717" s="17"/>
      <c r="F717" s="17"/>
      <c r="G717" s="18"/>
      <c r="H717" s="17"/>
      <c r="I717" s="23"/>
      <c r="J717" s="17"/>
    </row>
    <row r="718" spans="1:10" x14ac:dyDescent="0.2">
      <c r="A718" s="16"/>
      <c r="B718" s="34"/>
      <c r="C718" s="16"/>
      <c r="D718" s="17"/>
      <c r="E718" s="17"/>
      <c r="F718" s="17"/>
      <c r="G718" s="18"/>
      <c r="H718" s="17"/>
      <c r="I718" s="23"/>
      <c r="J718" s="17"/>
    </row>
    <row r="719" spans="1:10" x14ac:dyDescent="0.2">
      <c r="A719" s="16"/>
      <c r="B719" s="34"/>
      <c r="C719" s="16"/>
      <c r="D719" s="17"/>
      <c r="E719" s="17"/>
      <c r="F719" s="17"/>
      <c r="G719" s="18"/>
      <c r="H719" s="17"/>
      <c r="I719" s="23"/>
      <c r="J719" s="17"/>
    </row>
    <row r="720" spans="1:10" x14ac:dyDescent="0.2">
      <c r="A720" s="16"/>
      <c r="B720" s="34"/>
      <c r="C720" s="16"/>
      <c r="D720" s="17"/>
      <c r="E720" s="17"/>
      <c r="F720" s="17"/>
      <c r="G720" s="18"/>
      <c r="H720" s="17"/>
      <c r="I720" s="23"/>
      <c r="J720" s="17"/>
    </row>
    <row r="721" spans="1:10" x14ac:dyDescent="0.2">
      <c r="A721" s="16"/>
      <c r="B721" s="34"/>
      <c r="C721" s="16"/>
      <c r="D721" s="17"/>
      <c r="E721" s="17"/>
      <c r="F721" s="17"/>
      <c r="G721" s="18"/>
      <c r="H721" s="17"/>
      <c r="I721" s="23"/>
      <c r="J721" s="17"/>
    </row>
    <row r="722" spans="1:10" x14ac:dyDescent="0.2">
      <c r="A722" s="16"/>
      <c r="B722" s="34"/>
      <c r="C722" s="16"/>
      <c r="D722" s="17"/>
      <c r="E722" s="17"/>
      <c r="F722" s="17"/>
      <c r="G722" s="18"/>
      <c r="H722" s="17"/>
      <c r="I722" s="23"/>
      <c r="J722" s="17"/>
    </row>
    <row r="723" spans="1:10" x14ac:dyDescent="0.2">
      <c r="A723" s="16"/>
      <c r="B723" s="34"/>
      <c r="C723" s="16"/>
      <c r="D723" s="17"/>
      <c r="E723" s="17"/>
      <c r="F723" s="17"/>
      <c r="G723" s="18"/>
      <c r="H723" s="17"/>
      <c r="I723" s="23"/>
      <c r="J723" s="17"/>
    </row>
    <row r="724" spans="1:10" x14ac:dyDescent="0.2">
      <c r="A724" s="16"/>
      <c r="B724" s="34"/>
      <c r="C724" s="16"/>
      <c r="D724" s="17"/>
      <c r="E724" s="17"/>
      <c r="F724" s="17"/>
      <c r="G724" s="18"/>
      <c r="H724" s="17"/>
      <c r="I724" s="23"/>
      <c r="J724" s="17"/>
    </row>
    <row r="725" spans="1:10" x14ac:dyDescent="0.2">
      <c r="A725" s="16"/>
      <c r="B725" s="34"/>
      <c r="C725" s="16"/>
      <c r="D725" s="17"/>
      <c r="E725" s="17"/>
      <c r="F725" s="17"/>
      <c r="G725" s="18"/>
      <c r="H725" s="17"/>
      <c r="I725" s="23"/>
      <c r="J725" s="17"/>
    </row>
    <row r="726" spans="1:10" x14ac:dyDescent="0.2">
      <c r="A726" s="16"/>
      <c r="B726" s="34"/>
      <c r="C726" s="16"/>
      <c r="D726" s="17"/>
      <c r="E726" s="17"/>
      <c r="F726" s="17"/>
      <c r="G726" s="18"/>
      <c r="H726" s="17"/>
      <c r="I726" s="23"/>
      <c r="J726" s="17"/>
    </row>
    <row r="727" spans="1:10" x14ac:dyDescent="0.2">
      <c r="A727" s="16"/>
      <c r="B727" s="34"/>
      <c r="C727" s="16"/>
      <c r="D727" s="17"/>
      <c r="E727" s="17"/>
      <c r="F727" s="17"/>
      <c r="G727" s="18"/>
      <c r="H727" s="17"/>
      <c r="I727" s="23"/>
      <c r="J727" s="17"/>
    </row>
    <row r="728" spans="1:10" x14ac:dyDescent="0.2">
      <c r="A728" s="16"/>
      <c r="B728" s="34"/>
      <c r="C728" s="16"/>
      <c r="D728" s="17"/>
      <c r="E728" s="17"/>
      <c r="F728" s="17"/>
      <c r="G728" s="18"/>
      <c r="H728" s="17"/>
      <c r="I728" s="23"/>
      <c r="J728" s="17"/>
    </row>
    <row r="729" spans="1:10" x14ac:dyDescent="0.2">
      <c r="A729" s="16"/>
      <c r="B729" s="34"/>
      <c r="C729" s="16"/>
      <c r="D729" s="17"/>
      <c r="E729" s="17"/>
      <c r="F729" s="17"/>
      <c r="G729" s="18"/>
      <c r="H729" s="17"/>
      <c r="I729" s="23"/>
      <c r="J729" s="17"/>
    </row>
    <row r="730" spans="1:10" x14ac:dyDescent="0.2">
      <c r="A730" s="16"/>
      <c r="B730" s="34"/>
      <c r="C730" s="16"/>
      <c r="D730" s="17"/>
      <c r="E730" s="17"/>
      <c r="F730" s="17"/>
      <c r="G730" s="18"/>
      <c r="H730" s="17"/>
      <c r="I730" s="23"/>
      <c r="J730" s="17"/>
    </row>
    <row r="731" spans="1:10" x14ac:dyDescent="0.2">
      <c r="A731" s="16"/>
      <c r="B731" s="34"/>
      <c r="C731" s="16"/>
      <c r="D731" s="17"/>
      <c r="E731" s="17"/>
      <c r="F731" s="17"/>
      <c r="G731" s="18"/>
      <c r="H731" s="17"/>
      <c r="I731" s="23"/>
      <c r="J731" s="17"/>
    </row>
    <row r="732" spans="1:10" x14ac:dyDescent="0.2">
      <c r="A732" s="16"/>
      <c r="B732" s="34"/>
      <c r="C732" s="16"/>
      <c r="D732" s="17"/>
      <c r="E732" s="17"/>
      <c r="F732" s="17"/>
      <c r="G732" s="18"/>
      <c r="H732" s="17"/>
      <c r="I732" s="23"/>
      <c r="J732" s="17"/>
    </row>
    <row r="733" spans="1:10" x14ac:dyDescent="0.2">
      <c r="A733" s="16"/>
      <c r="B733" s="34"/>
      <c r="C733" s="16"/>
      <c r="D733" s="17"/>
      <c r="E733" s="17"/>
      <c r="F733" s="17"/>
      <c r="G733" s="18"/>
      <c r="H733" s="17"/>
      <c r="I733" s="23"/>
      <c r="J733" s="17"/>
    </row>
    <row r="734" spans="1:10" x14ac:dyDescent="0.2">
      <c r="A734" s="16"/>
      <c r="B734" s="34"/>
      <c r="C734" s="16"/>
      <c r="D734" s="17"/>
      <c r="E734" s="17"/>
      <c r="F734" s="17"/>
      <c r="G734" s="18"/>
      <c r="H734" s="17"/>
      <c r="I734" s="23"/>
      <c r="J734" s="17"/>
    </row>
    <row r="735" spans="1:10" x14ac:dyDescent="0.2">
      <c r="A735" s="16"/>
      <c r="B735" s="34"/>
      <c r="C735" s="16"/>
      <c r="D735" s="17"/>
      <c r="E735" s="17"/>
      <c r="F735" s="17"/>
      <c r="G735" s="18"/>
      <c r="H735" s="17"/>
      <c r="I735" s="23"/>
      <c r="J735" s="17"/>
    </row>
    <row r="736" spans="1:10" x14ac:dyDescent="0.2">
      <c r="A736" s="16"/>
      <c r="B736" s="34"/>
      <c r="C736" s="16"/>
      <c r="D736" s="17"/>
      <c r="E736" s="17"/>
      <c r="F736" s="17"/>
      <c r="G736" s="18"/>
      <c r="H736" s="17"/>
      <c r="I736" s="23"/>
      <c r="J736" s="17"/>
    </row>
    <row r="737" spans="1:10" x14ac:dyDescent="0.2">
      <c r="A737" s="16"/>
      <c r="B737" s="34"/>
      <c r="C737" s="16"/>
      <c r="D737" s="17"/>
      <c r="E737" s="17"/>
      <c r="F737" s="17"/>
      <c r="G737" s="18"/>
      <c r="H737" s="17"/>
      <c r="I737" s="23"/>
      <c r="J737" s="17"/>
    </row>
    <row r="738" spans="1:10" x14ac:dyDescent="0.2">
      <c r="A738" s="16"/>
      <c r="B738" s="34"/>
      <c r="C738" s="16"/>
      <c r="D738" s="17"/>
      <c r="E738" s="17"/>
      <c r="F738" s="17"/>
      <c r="G738" s="18"/>
      <c r="H738" s="17"/>
      <c r="I738" s="23"/>
      <c r="J738" s="23"/>
    </row>
    <row r="739" spans="1:10" x14ac:dyDescent="0.2">
      <c r="A739" s="16"/>
      <c r="B739" s="34"/>
      <c r="C739" s="16"/>
      <c r="D739" s="17"/>
      <c r="E739" s="17"/>
      <c r="F739" s="17"/>
      <c r="G739" s="18"/>
      <c r="H739" s="17"/>
      <c r="I739" s="23"/>
      <c r="J739" s="17"/>
    </row>
    <row r="740" spans="1:10" x14ac:dyDescent="0.2">
      <c r="A740" s="16"/>
      <c r="B740" s="34"/>
      <c r="C740" s="16"/>
      <c r="D740" s="17"/>
      <c r="E740" s="17"/>
      <c r="F740" s="17"/>
      <c r="G740" s="18"/>
      <c r="H740" s="17"/>
      <c r="I740" s="23"/>
      <c r="J740" s="17"/>
    </row>
    <row r="741" spans="1:10" x14ac:dyDescent="0.2">
      <c r="A741" s="16"/>
      <c r="B741" s="34"/>
      <c r="C741" s="16"/>
      <c r="D741" s="17"/>
      <c r="E741" s="17"/>
      <c r="F741" s="17"/>
      <c r="G741" s="18"/>
      <c r="H741" s="17"/>
      <c r="I741" s="23"/>
      <c r="J741" s="17"/>
    </row>
    <row r="742" spans="1:10" x14ac:dyDescent="0.2">
      <c r="A742" s="16"/>
      <c r="B742" s="34"/>
      <c r="C742" s="16"/>
      <c r="D742" s="17"/>
      <c r="E742" s="17"/>
      <c r="F742" s="17"/>
      <c r="G742" s="18"/>
      <c r="H742" s="17"/>
      <c r="I742" s="23"/>
      <c r="J742" s="17"/>
    </row>
    <row r="743" spans="1:10" x14ac:dyDescent="0.2">
      <c r="A743" s="16"/>
      <c r="B743" s="34"/>
      <c r="C743" s="16"/>
      <c r="D743" s="17"/>
      <c r="E743" s="17"/>
      <c r="F743" s="17"/>
      <c r="G743" s="18"/>
      <c r="H743" s="17"/>
      <c r="I743" s="23"/>
      <c r="J743" s="36"/>
    </row>
    <row r="744" spans="1:10" x14ac:dyDescent="0.2">
      <c r="A744" s="16"/>
      <c r="B744" s="34"/>
      <c r="C744" s="16"/>
      <c r="D744" s="17"/>
      <c r="E744" s="17"/>
      <c r="F744" s="17"/>
      <c r="G744" s="18"/>
      <c r="H744" s="17"/>
      <c r="I744" s="23"/>
      <c r="J744" s="17"/>
    </row>
    <row r="745" spans="1:10" x14ac:dyDescent="0.2">
      <c r="A745" s="16"/>
      <c r="B745" s="34"/>
      <c r="C745" s="16"/>
      <c r="D745" s="17"/>
      <c r="E745" s="17"/>
      <c r="F745" s="17"/>
      <c r="G745" s="18"/>
      <c r="H745" s="17"/>
      <c r="I745" s="23"/>
      <c r="J745" s="17"/>
    </row>
    <row r="746" spans="1:10" x14ac:dyDescent="0.2">
      <c r="A746" s="16"/>
      <c r="B746" s="34"/>
      <c r="C746" s="16"/>
      <c r="D746" s="17"/>
      <c r="E746" s="17"/>
      <c r="F746" s="17"/>
      <c r="G746" s="18"/>
      <c r="H746" s="17"/>
      <c r="I746" s="23"/>
      <c r="J746" s="17"/>
    </row>
    <row r="747" spans="1:10" x14ac:dyDescent="0.2">
      <c r="A747" s="16"/>
      <c r="B747" s="34"/>
      <c r="C747" s="16"/>
      <c r="D747" s="17"/>
      <c r="E747" s="17"/>
      <c r="F747" s="17"/>
      <c r="G747" s="18"/>
      <c r="H747" s="17"/>
      <c r="I747" s="23"/>
      <c r="J747" s="17"/>
    </row>
    <row r="748" spans="1:10" x14ac:dyDescent="0.2">
      <c r="A748" s="16"/>
      <c r="B748" s="34"/>
      <c r="C748" s="16"/>
      <c r="D748" s="17"/>
      <c r="E748" s="17"/>
      <c r="F748" s="17"/>
      <c r="G748" s="18"/>
      <c r="H748" s="17"/>
      <c r="I748" s="23"/>
      <c r="J748" s="17"/>
    </row>
    <row r="749" spans="1:10" x14ac:dyDescent="0.2">
      <c r="A749" s="16"/>
      <c r="B749" s="34"/>
      <c r="C749" s="16"/>
      <c r="D749" s="17"/>
      <c r="E749" s="17"/>
      <c r="F749" s="17"/>
      <c r="G749" s="18"/>
      <c r="H749" s="17"/>
      <c r="I749" s="23"/>
      <c r="J749" s="17"/>
    </row>
    <row r="750" spans="1:10" x14ac:dyDescent="0.2">
      <c r="A750" s="16"/>
      <c r="B750" s="34"/>
      <c r="C750" s="16"/>
      <c r="D750" s="17"/>
      <c r="E750" s="17"/>
      <c r="F750" s="17"/>
      <c r="G750" s="18"/>
      <c r="H750" s="17"/>
      <c r="I750" s="23"/>
      <c r="J750" s="17"/>
    </row>
    <row r="751" spans="1:10" x14ac:dyDescent="0.2">
      <c r="A751" s="16"/>
      <c r="B751" s="34"/>
      <c r="C751" s="16"/>
      <c r="D751" s="17"/>
      <c r="E751" s="17"/>
      <c r="F751" s="17"/>
      <c r="G751" s="18"/>
      <c r="H751" s="17"/>
      <c r="I751" s="23"/>
      <c r="J751" s="17"/>
    </row>
    <row r="752" spans="1:10" x14ac:dyDescent="0.2">
      <c r="A752" s="16"/>
      <c r="B752" s="34"/>
      <c r="C752" s="16"/>
      <c r="D752" s="17"/>
      <c r="E752" s="17"/>
      <c r="F752" s="17"/>
      <c r="G752" s="18"/>
      <c r="H752" s="17"/>
      <c r="I752" s="23"/>
      <c r="J752" s="23"/>
    </row>
    <row r="753" spans="1:10" x14ac:dyDescent="0.2">
      <c r="A753" s="16"/>
      <c r="B753" s="34"/>
      <c r="C753" s="16"/>
      <c r="D753" s="17"/>
      <c r="E753" s="17"/>
      <c r="F753" s="17"/>
      <c r="G753" s="18"/>
      <c r="H753" s="17"/>
      <c r="I753" s="23"/>
      <c r="J753" s="17"/>
    </row>
    <row r="754" spans="1:10" x14ac:dyDescent="0.2">
      <c r="A754" s="16"/>
      <c r="B754" s="34"/>
      <c r="C754" s="16"/>
      <c r="D754" s="17"/>
      <c r="E754" s="17"/>
      <c r="F754" s="17"/>
      <c r="G754" s="18"/>
      <c r="H754" s="17"/>
      <c r="I754" s="23"/>
      <c r="J754" s="17"/>
    </row>
    <row r="755" spans="1:10" x14ac:dyDescent="0.2">
      <c r="A755" s="16"/>
      <c r="B755" s="34"/>
      <c r="C755" s="16"/>
      <c r="D755" s="17"/>
      <c r="E755" s="17"/>
      <c r="F755" s="17"/>
      <c r="G755" s="18"/>
      <c r="H755" s="17"/>
      <c r="I755" s="23"/>
      <c r="J755" s="17"/>
    </row>
    <row r="756" spans="1:10" x14ac:dyDescent="0.2">
      <c r="A756" s="16"/>
      <c r="B756" s="34"/>
      <c r="C756" s="16"/>
      <c r="D756" s="17"/>
      <c r="E756" s="17"/>
      <c r="F756" s="17"/>
      <c r="G756" s="18"/>
      <c r="H756" s="17"/>
      <c r="I756" s="23"/>
      <c r="J756" s="17"/>
    </row>
    <row r="757" spans="1:10" x14ac:dyDescent="0.2">
      <c r="A757" s="16"/>
      <c r="B757" s="34"/>
      <c r="C757" s="16"/>
      <c r="D757" s="17"/>
      <c r="E757" s="17"/>
      <c r="F757" s="17"/>
      <c r="G757" s="18"/>
      <c r="H757" s="17"/>
      <c r="I757" s="23"/>
      <c r="J757" s="17"/>
    </row>
    <row r="758" spans="1:10" x14ac:dyDescent="0.2">
      <c r="A758" s="16"/>
      <c r="B758" s="34"/>
      <c r="C758" s="16"/>
      <c r="D758" s="17"/>
      <c r="E758" s="17"/>
      <c r="F758" s="17"/>
      <c r="G758" s="18"/>
      <c r="H758" s="17"/>
      <c r="I758" s="23"/>
      <c r="J758" s="17"/>
    </row>
    <row r="759" spans="1:10" x14ac:dyDescent="0.2">
      <c r="A759" s="16"/>
      <c r="B759" s="34"/>
      <c r="C759" s="16"/>
      <c r="D759" s="17"/>
      <c r="E759" s="17"/>
      <c r="F759" s="17"/>
      <c r="G759" s="18"/>
      <c r="H759" s="17"/>
      <c r="I759" s="23"/>
      <c r="J759" s="17"/>
    </row>
    <row r="760" spans="1:10" x14ac:dyDescent="0.2">
      <c r="A760" s="16"/>
      <c r="B760" s="34"/>
      <c r="C760" s="16"/>
      <c r="D760" s="17"/>
      <c r="E760" s="17"/>
      <c r="F760" s="17"/>
      <c r="G760" s="18"/>
      <c r="H760" s="17"/>
      <c r="I760" s="23"/>
      <c r="J760" s="17"/>
    </row>
    <row r="761" spans="1:10" x14ac:dyDescent="0.2">
      <c r="A761" s="16"/>
      <c r="B761" s="34"/>
      <c r="C761" s="16"/>
      <c r="D761" s="17"/>
      <c r="E761" s="17"/>
      <c r="F761" s="17"/>
      <c r="G761" s="18"/>
      <c r="H761" s="17"/>
      <c r="I761" s="23"/>
      <c r="J761" s="17"/>
    </row>
    <row r="762" spans="1:10" x14ac:dyDescent="0.2">
      <c r="A762" s="16"/>
      <c r="B762" s="34"/>
      <c r="C762" s="16"/>
      <c r="D762" s="17"/>
      <c r="E762" s="17"/>
      <c r="F762" s="17"/>
      <c r="G762" s="18"/>
      <c r="H762" s="17"/>
      <c r="I762" s="23"/>
      <c r="J762" s="21"/>
    </row>
    <row r="763" spans="1:10" x14ac:dyDescent="0.2">
      <c r="A763" s="16"/>
      <c r="B763" s="34"/>
      <c r="C763" s="16"/>
      <c r="D763" s="17"/>
      <c r="E763" s="17"/>
      <c r="F763" s="17"/>
      <c r="G763" s="18"/>
      <c r="H763" s="17"/>
      <c r="I763" s="23"/>
      <c r="J763" s="17"/>
    </row>
    <row r="764" spans="1:10" x14ac:dyDescent="0.2">
      <c r="A764" s="16"/>
      <c r="B764" s="34"/>
      <c r="C764" s="16"/>
      <c r="D764" s="17"/>
      <c r="E764" s="17"/>
      <c r="F764" s="17"/>
      <c r="G764" s="18"/>
      <c r="H764" s="17"/>
      <c r="I764" s="23"/>
      <c r="J764" s="17"/>
    </row>
    <row r="765" spans="1:10" x14ac:dyDescent="0.2">
      <c r="A765" s="16"/>
      <c r="B765" s="34"/>
      <c r="C765" s="16"/>
      <c r="D765" s="17"/>
      <c r="E765" s="17"/>
      <c r="F765" s="17"/>
      <c r="G765" s="18"/>
      <c r="H765" s="17"/>
      <c r="I765" s="23"/>
      <c r="J765" s="17"/>
    </row>
    <row r="766" spans="1:10" x14ac:dyDescent="0.2">
      <c r="A766" s="16"/>
      <c r="B766" s="34"/>
      <c r="C766" s="16"/>
      <c r="D766" s="17"/>
      <c r="E766" s="17"/>
      <c r="F766" s="17"/>
      <c r="G766" s="18"/>
      <c r="H766" s="17"/>
      <c r="I766" s="23"/>
      <c r="J766" s="17"/>
    </row>
    <row r="767" spans="1:10" x14ac:dyDescent="0.2">
      <c r="A767" s="16"/>
      <c r="B767" s="34"/>
      <c r="C767" s="16"/>
      <c r="D767" s="17"/>
      <c r="E767" s="17"/>
      <c r="F767" s="17"/>
      <c r="G767" s="18"/>
      <c r="H767" s="17"/>
      <c r="I767" s="23"/>
      <c r="J767" s="21"/>
    </row>
    <row r="768" spans="1:10" x14ac:dyDescent="0.2">
      <c r="A768" s="16"/>
      <c r="B768" s="34"/>
      <c r="C768" s="16"/>
      <c r="D768" s="17"/>
      <c r="E768" s="17"/>
      <c r="F768" s="17"/>
      <c r="G768" s="18"/>
      <c r="H768" s="17"/>
      <c r="I768" s="23"/>
      <c r="J768" s="17"/>
    </row>
    <row r="769" spans="1:10" x14ac:dyDescent="0.2">
      <c r="A769" s="16"/>
      <c r="B769" s="34"/>
      <c r="C769" s="16"/>
      <c r="D769" s="17"/>
      <c r="E769" s="17"/>
      <c r="F769" s="17"/>
      <c r="G769" s="18"/>
      <c r="H769" s="17"/>
      <c r="I769" s="23"/>
      <c r="J769" s="23"/>
    </row>
    <row r="770" spans="1:10" x14ac:dyDescent="0.2">
      <c r="A770" s="16"/>
      <c r="B770" s="34"/>
      <c r="C770" s="16"/>
      <c r="D770" s="17"/>
      <c r="E770" s="17"/>
      <c r="F770" s="17"/>
      <c r="G770" s="18"/>
      <c r="H770" s="17"/>
      <c r="I770" s="23"/>
      <c r="J770" s="17"/>
    </row>
    <row r="771" spans="1:10" x14ac:dyDescent="0.2">
      <c r="A771" s="16"/>
      <c r="B771" s="34"/>
      <c r="C771" s="16"/>
      <c r="D771" s="17"/>
      <c r="E771" s="17"/>
      <c r="F771" s="17"/>
      <c r="G771" s="18"/>
      <c r="H771" s="17"/>
      <c r="I771" s="23"/>
      <c r="J771" s="23"/>
    </row>
    <row r="772" spans="1:10" x14ac:dyDescent="0.2">
      <c r="A772" s="16"/>
      <c r="B772" s="34"/>
      <c r="C772" s="16"/>
      <c r="D772" s="17"/>
      <c r="E772" s="17"/>
      <c r="F772" s="17"/>
      <c r="G772" s="18"/>
      <c r="H772" s="17"/>
      <c r="I772" s="23"/>
      <c r="J772" s="17"/>
    </row>
    <row r="773" spans="1:10" x14ac:dyDescent="0.2">
      <c r="A773" s="16"/>
      <c r="B773" s="34"/>
      <c r="C773" s="16"/>
      <c r="D773" s="17"/>
      <c r="E773" s="17"/>
      <c r="F773" s="17"/>
      <c r="G773" s="18"/>
      <c r="H773" s="17"/>
      <c r="I773" s="23"/>
      <c r="J773" s="17"/>
    </row>
    <row r="774" spans="1:10" x14ac:dyDescent="0.2">
      <c r="A774" s="16"/>
      <c r="B774" s="34"/>
      <c r="C774" s="16"/>
      <c r="D774" s="17"/>
      <c r="E774" s="17"/>
      <c r="F774" s="17"/>
      <c r="G774" s="18"/>
      <c r="H774" s="17"/>
      <c r="I774" s="23"/>
      <c r="J774" s="23"/>
    </row>
    <row r="775" spans="1:10" x14ac:dyDescent="0.2">
      <c r="A775" s="16"/>
      <c r="B775" s="34"/>
      <c r="C775" s="16"/>
      <c r="D775" s="17"/>
      <c r="E775" s="17"/>
      <c r="F775" s="17"/>
      <c r="G775" s="18"/>
      <c r="H775" s="17"/>
      <c r="I775" s="36"/>
      <c r="J775" s="36"/>
    </row>
    <row r="776" spans="1:10" x14ac:dyDescent="0.2">
      <c r="A776" s="16"/>
      <c r="B776" s="34"/>
      <c r="C776" s="16"/>
      <c r="D776" s="17"/>
      <c r="E776" s="17"/>
      <c r="F776" s="17"/>
      <c r="G776" s="18"/>
      <c r="H776" s="17"/>
      <c r="I776" s="23"/>
      <c r="J776" s="17"/>
    </row>
    <row r="777" spans="1:10" x14ac:dyDescent="0.2">
      <c r="A777" s="16"/>
      <c r="B777" s="34"/>
      <c r="C777" s="16"/>
      <c r="D777" s="17"/>
      <c r="E777" s="17"/>
      <c r="F777" s="17"/>
      <c r="G777" s="18"/>
      <c r="H777" s="17"/>
      <c r="I777" s="23"/>
      <c r="J777" s="17"/>
    </row>
    <row r="778" spans="1:10" x14ac:dyDescent="0.2">
      <c r="A778" s="16"/>
      <c r="B778" s="34"/>
      <c r="C778" s="16"/>
      <c r="D778" s="17"/>
      <c r="E778" s="17"/>
      <c r="F778" s="17"/>
      <c r="G778" s="18"/>
      <c r="H778" s="17"/>
      <c r="I778" s="23"/>
      <c r="J778" s="17"/>
    </row>
    <row r="779" spans="1:10" x14ac:dyDescent="0.2">
      <c r="A779" s="16"/>
      <c r="B779" s="34"/>
      <c r="C779" s="16"/>
      <c r="D779" s="17"/>
      <c r="E779" s="17"/>
      <c r="F779" s="17"/>
      <c r="G779" s="18"/>
      <c r="H779" s="17"/>
      <c r="I779" s="23"/>
      <c r="J779" s="17"/>
    </row>
    <row r="780" spans="1:10" x14ac:dyDescent="0.2">
      <c r="A780" s="16"/>
      <c r="B780" s="34"/>
      <c r="C780" s="16"/>
      <c r="D780" s="17"/>
      <c r="E780" s="17"/>
      <c r="F780" s="17"/>
      <c r="G780" s="18"/>
      <c r="H780" s="17"/>
      <c r="I780" s="23"/>
      <c r="J780" s="17"/>
    </row>
    <row r="781" spans="1:10" x14ac:dyDescent="0.2">
      <c r="A781" s="16"/>
      <c r="B781" s="34"/>
      <c r="C781" s="16"/>
      <c r="D781" s="17"/>
      <c r="E781" s="17"/>
      <c r="F781" s="17"/>
      <c r="G781" s="18"/>
      <c r="H781" s="17"/>
      <c r="I781" s="23"/>
      <c r="J781" s="17"/>
    </row>
    <row r="782" spans="1:10" x14ac:dyDescent="0.2">
      <c r="A782" s="16"/>
      <c r="B782" s="34"/>
      <c r="C782" s="16"/>
      <c r="D782" s="17"/>
      <c r="E782" s="17"/>
      <c r="F782" s="17"/>
      <c r="G782" s="18"/>
      <c r="H782" s="17"/>
      <c r="I782" s="23"/>
      <c r="J782" s="17"/>
    </row>
    <row r="783" spans="1:10" x14ac:dyDescent="0.2">
      <c r="A783" s="16"/>
      <c r="B783" s="34"/>
      <c r="C783" s="16"/>
      <c r="D783" s="17"/>
      <c r="E783" s="17"/>
      <c r="F783" s="17"/>
      <c r="G783" s="18"/>
      <c r="H783" s="17"/>
      <c r="I783" s="23"/>
      <c r="J783" s="17"/>
    </row>
    <row r="784" spans="1:10" x14ac:dyDescent="0.2">
      <c r="A784" s="16"/>
      <c r="B784" s="34"/>
      <c r="C784" s="16"/>
      <c r="D784" s="17"/>
      <c r="E784" s="17"/>
      <c r="F784" s="17"/>
      <c r="G784" s="18"/>
      <c r="H784" s="17"/>
      <c r="I784" s="23"/>
      <c r="J784" s="17"/>
    </row>
    <row r="785" spans="1:10" x14ac:dyDescent="0.2">
      <c r="A785" s="16"/>
      <c r="B785" s="34"/>
      <c r="C785" s="16"/>
      <c r="D785" s="17"/>
      <c r="E785" s="17"/>
      <c r="F785" s="17"/>
      <c r="G785" s="18"/>
      <c r="H785" s="17"/>
      <c r="I785" s="36"/>
      <c r="J785" s="36"/>
    </row>
    <row r="786" spans="1:10" x14ac:dyDescent="0.2">
      <c r="A786" s="16"/>
      <c r="B786" s="34"/>
      <c r="C786" s="16"/>
      <c r="D786" s="17"/>
      <c r="E786" s="17"/>
      <c r="F786" s="17"/>
      <c r="G786" s="18"/>
      <c r="H786" s="17"/>
      <c r="I786" s="23"/>
      <c r="J786" s="17"/>
    </row>
    <row r="787" spans="1:10" x14ac:dyDescent="0.2">
      <c r="A787" s="16"/>
      <c r="B787" s="34"/>
      <c r="C787" s="16"/>
      <c r="D787" s="17"/>
      <c r="E787" s="17"/>
      <c r="F787" s="17"/>
      <c r="G787" s="18"/>
      <c r="H787" s="17"/>
      <c r="I787" s="23"/>
      <c r="J787" s="17"/>
    </row>
    <row r="788" spans="1:10" x14ac:dyDescent="0.2">
      <c r="A788" s="16"/>
      <c r="B788" s="34"/>
      <c r="C788" s="16"/>
      <c r="D788" s="17"/>
      <c r="E788" s="17"/>
      <c r="F788" s="17"/>
      <c r="G788" s="18"/>
      <c r="H788" s="17"/>
      <c r="I788" s="23"/>
      <c r="J788" s="23"/>
    </row>
    <row r="789" spans="1:10" x14ac:dyDescent="0.2">
      <c r="A789" s="16"/>
      <c r="B789" s="34"/>
      <c r="C789" s="16"/>
      <c r="D789" s="17"/>
      <c r="E789" s="17"/>
      <c r="F789" s="17"/>
      <c r="G789" s="18"/>
      <c r="H789" s="17"/>
      <c r="I789" s="23"/>
      <c r="J789" s="17"/>
    </row>
    <row r="790" spans="1:10" x14ac:dyDescent="0.2">
      <c r="A790" s="16"/>
      <c r="B790" s="34"/>
      <c r="C790" s="16"/>
      <c r="D790" s="17"/>
      <c r="E790" s="17"/>
      <c r="F790" s="17"/>
      <c r="G790" s="18"/>
      <c r="H790" s="17"/>
      <c r="I790" s="23"/>
      <c r="J790" s="17"/>
    </row>
    <row r="791" spans="1:10" x14ac:dyDescent="0.2">
      <c r="A791" s="16"/>
      <c r="B791" s="34"/>
      <c r="C791" s="16"/>
      <c r="D791" s="17"/>
      <c r="E791" s="17"/>
      <c r="F791" s="17"/>
      <c r="G791" s="18"/>
      <c r="H791" s="17"/>
      <c r="I791" s="23"/>
      <c r="J791" s="17"/>
    </row>
    <row r="792" spans="1:10" x14ac:dyDescent="0.2">
      <c r="A792" s="16"/>
      <c r="B792" s="34"/>
      <c r="C792" s="16"/>
      <c r="D792" s="17"/>
      <c r="E792" s="17"/>
      <c r="F792" s="17"/>
      <c r="G792" s="18"/>
      <c r="H792" s="17"/>
      <c r="I792" s="23"/>
      <c r="J792" s="17"/>
    </row>
    <row r="793" spans="1:10" x14ac:dyDescent="0.2">
      <c r="A793" s="16"/>
      <c r="B793" s="34"/>
      <c r="C793" s="16"/>
      <c r="D793" s="17"/>
      <c r="E793" s="17"/>
      <c r="F793" s="17"/>
      <c r="G793" s="18"/>
      <c r="H793" s="17"/>
      <c r="I793" s="44"/>
      <c r="J793" s="44"/>
    </row>
    <row r="794" spans="1:10" x14ac:dyDescent="0.2">
      <c r="A794" s="16"/>
      <c r="B794" s="34"/>
      <c r="C794" s="16"/>
      <c r="D794" s="17"/>
      <c r="E794" s="17"/>
      <c r="F794" s="17"/>
      <c r="G794" s="18"/>
      <c r="H794" s="17"/>
      <c r="I794" s="23"/>
      <c r="J794" s="23"/>
    </row>
    <row r="795" spans="1:10" x14ac:dyDescent="0.2">
      <c r="A795" s="16"/>
      <c r="B795" s="34"/>
      <c r="C795" s="16"/>
      <c r="D795" s="17"/>
      <c r="E795" s="17"/>
      <c r="F795" s="17"/>
      <c r="G795" s="18"/>
      <c r="H795" s="17"/>
      <c r="I795" s="45"/>
      <c r="J795" s="45"/>
    </row>
    <row r="796" spans="1:10" x14ac:dyDescent="0.2">
      <c r="A796" s="16"/>
      <c r="B796" s="34"/>
      <c r="C796" s="16"/>
      <c r="D796" s="17"/>
      <c r="E796" s="17"/>
      <c r="F796" s="17"/>
      <c r="G796" s="18"/>
      <c r="H796" s="17"/>
      <c r="I796" s="23"/>
      <c r="J796" s="17"/>
    </row>
    <row r="797" spans="1:10" x14ac:dyDescent="0.2">
      <c r="A797" s="16"/>
      <c r="B797" s="34"/>
      <c r="C797" s="16"/>
      <c r="D797" s="17"/>
      <c r="E797" s="17"/>
      <c r="F797" s="17"/>
      <c r="G797" s="18"/>
      <c r="H797" s="17"/>
      <c r="I797" s="37"/>
      <c r="J797" s="29"/>
    </row>
    <row r="798" spans="1:10" x14ac:dyDescent="0.2">
      <c r="A798" s="16"/>
      <c r="B798" s="34"/>
      <c r="C798" s="16"/>
      <c r="D798" s="17"/>
      <c r="E798" s="17"/>
      <c r="F798" s="17"/>
      <c r="G798" s="18"/>
      <c r="H798" s="17"/>
      <c r="I798" s="23"/>
      <c r="J798" s="17"/>
    </row>
    <row r="799" spans="1:10" x14ac:dyDescent="0.2">
      <c r="A799" s="16"/>
      <c r="B799" s="34"/>
      <c r="C799" s="16"/>
      <c r="D799" s="17"/>
      <c r="E799" s="17"/>
      <c r="F799" s="17"/>
      <c r="G799" s="18"/>
      <c r="H799" s="17"/>
      <c r="I799" s="23"/>
      <c r="J799" s="17"/>
    </row>
    <row r="800" spans="1:10" x14ac:dyDescent="0.2">
      <c r="A800" s="16"/>
      <c r="B800" s="34"/>
      <c r="C800" s="16"/>
      <c r="D800" s="17"/>
      <c r="E800" s="17"/>
      <c r="F800" s="17"/>
      <c r="G800" s="18"/>
      <c r="H800" s="17"/>
      <c r="I800" s="23"/>
      <c r="J800" s="17"/>
    </row>
    <row r="801" spans="1:10" x14ac:dyDescent="0.2">
      <c r="A801" s="16"/>
      <c r="B801" s="34"/>
      <c r="C801" s="16"/>
      <c r="D801" s="17"/>
      <c r="E801" s="17"/>
      <c r="F801" s="17"/>
      <c r="G801" s="18"/>
      <c r="H801" s="17"/>
      <c r="I801" s="23"/>
      <c r="J801" s="17"/>
    </row>
    <row r="802" spans="1:10" x14ac:dyDescent="0.2">
      <c r="A802" s="16"/>
      <c r="B802" s="34"/>
      <c r="C802" s="16"/>
      <c r="D802" s="17"/>
      <c r="E802" s="17"/>
      <c r="F802" s="17"/>
      <c r="G802" s="18"/>
      <c r="H802" s="17"/>
      <c r="I802" s="23"/>
      <c r="J802" s="17"/>
    </row>
    <row r="803" spans="1:10" x14ac:dyDescent="0.2">
      <c r="A803" s="16"/>
      <c r="B803" s="34"/>
      <c r="C803" s="16"/>
      <c r="D803" s="17"/>
      <c r="E803" s="29"/>
      <c r="F803" s="17"/>
      <c r="G803" s="18"/>
      <c r="H803" s="17"/>
      <c r="I803" s="23"/>
      <c r="J803" s="17"/>
    </row>
    <row r="804" spans="1:10" x14ac:dyDescent="0.2">
      <c r="A804" s="16"/>
      <c r="B804" s="34"/>
      <c r="C804" s="16"/>
      <c r="D804" s="17"/>
      <c r="E804" s="17"/>
      <c r="F804" s="17"/>
      <c r="G804" s="18"/>
      <c r="H804" s="17"/>
      <c r="I804" s="23"/>
      <c r="J804" s="23"/>
    </row>
    <row r="805" spans="1:10" x14ac:dyDescent="0.2">
      <c r="A805" s="16"/>
      <c r="B805" s="34"/>
      <c r="C805" s="16"/>
      <c r="D805" s="17"/>
      <c r="E805" s="17"/>
      <c r="F805" s="17"/>
      <c r="G805" s="18"/>
      <c r="H805" s="17"/>
      <c r="I805" s="23"/>
      <c r="J805" s="17"/>
    </row>
    <row r="806" spans="1:10" x14ac:dyDescent="0.2">
      <c r="A806" s="16"/>
      <c r="B806" s="34"/>
      <c r="C806" s="16"/>
      <c r="D806" s="17"/>
      <c r="E806" s="17"/>
      <c r="F806" s="17"/>
      <c r="G806" s="18"/>
      <c r="H806" s="17"/>
      <c r="I806" s="23"/>
      <c r="J806" s="17"/>
    </row>
    <row r="807" spans="1:10" x14ac:dyDescent="0.2">
      <c r="A807" s="16"/>
      <c r="B807" s="34"/>
      <c r="C807" s="16"/>
      <c r="D807" s="17"/>
      <c r="E807" s="17"/>
      <c r="F807" s="17"/>
      <c r="G807" s="18"/>
      <c r="H807" s="17"/>
      <c r="I807" s="23"/>
      <c r="J807" s="17"/>
    </row>
    <row r="808" spans="1:10" x14ac:dyDescent="0.2">
      <c r="A808" s="16"/>
      <c r="B808" s="34"/>
      <c r="C808" s="16"/>
      <c r="D808" s="17"/>
      <c r="E808" s="17"/>
      <c r="F808" s="17"/>
      <c r="G808" s="18"/>
      <c r="H808" s="17"/>
      <c r="I808" s="23"/>
      <c r="J808" s="17"/>
    </row>
    <row r="809" spans="1:10" x14ac:dyDescent="0.2">
      <c r="A809" s="16"/>
      <c r="B809" s="34"/>
      <c r="C809" s="16"/>
      <c r="D809" s="17"/>
      <c r="E809" s="17"/>
      <c r="F809" s="17"/>
      <c r="G809" s="18"/>
      <c r="H809" s="17"/>
      <c r="I809" s="23"/>
      <c r="J809" s="23"/>
    </row>
    <row r="810" spans="1:10" x14ac:dyDescent="0.2">
      <c r="A810" s="16"/>
      <c r="B810" s="34"/>
      <c r="C810" s="16"/>
      <c r="D810" s="17"/>
      <c r="E810" s="17"/>
      <c r="F810" s="17"/>
      <c r="G810" s="18"/>
      <c r="H810" s="17"/>
      <c r="I810" s="23"/>
      <c r="J810" s="17"/>
    </row>
    <row r="811" spans="1:10" x14ac:dyDescent="0.2">
      <c r="A811" s="16"/>
      <c r="B811" s="34"/>
      <c r="C811" s="16"/>
      <c r="D811" s="17"/>
      <c r="E811" s="17"/>
      <c r="F811" s="17"/>
      <c r="G811" s="18"/>
      <c r="H811" s="17"/>
      <c r="I811" s="45"/>
      <c r="J811" s="45"/>
    </row>
    <row r="812" spans="1:10" x14ac:dyDescent="0.2">
      <c r="A812" s="16"/>
      <c r="B812" s="34"/>
      <c r="C812" s="16"/>
      <c r="D812" s="17"/>
      <c r="E812" s="17"/>
      <c r="F812" s="17"/>
      <c r="G812" s="18"/>
      <c r="H812" s="17"/>
      <c r="I812" s="23"/>
      <c r="J812" s="17"/>
    </row>
    <row r="813" spans="1:10" x14ac:dyDescent="0.2">
      <c r="A813" s="16"/>
      <c r="B813" s="34"/>
      <c r="C813" s="16"/>
      <c r="D813" s="17"/>
      <c r="E813" s="17"/>
      <c r="F813" s="17"/>
      <c r="G813" s="18"/>
      <c r="H813" s="17"/>
      <c r="I813" s="23"/>
      <c r="J813" s="17"/>
    </row>
    <row r="814" spans="1:10" x14ac:dyDescent="0.2">
      <c r="A814" s="16"/>
      <c r="B814" s="34"/>
      <c r="C814" s="16"/>
      <c r="D814" s="17"/>
      <c r="E814" s="17"/>
      <c r="F814" s="17"/>
      <c r="G814" s="18"/>
      <c r="H814" s="17"/>
      <c r="I814" s="23"/>
      <c r="J814" s="17"/>
    </row>
    <row r="815" spans="1:10" x14ac:dyDescent="0.2">
      <c r="A815" s="16"/>
      <c r="B815" s="34"/>
      <c r="C815" s="16"/>
      <c r="D815" s="17"/>
      <c r="E815" s="17"/>
      <c r="F815" s="17"/>
      <c r="G815" s="18"/>
      <c r="H815" s="17"/>
      <c r="I815" s="23"/>
      <c r="J815" s="17"/>
    </row>
    <row r="816" spans="1:10" x14ac:dyDescent="0.2">
      <c r="A816" s="16"/>
      <c r="B816" s="34"/>
      <c r="C816" s="16"/>
      <c r="D816" s="17"/>
      <c r="E816" s="17"/>
      <c r="F816" s="17"/>
      <c r="G816" s="18"/>
      <c r="H816" s="17"/>
      <c r="I816" s="23"/>
      <c r="J816" s="23"/>
    </row>
    <row r="817" spans="1:11" x14ac:dyDescent="0.2">
      <c r="A817" s="16"/>
      <c r="B817" s="34"/>
      <c r="C817" s="16"/>
      <c r="D817" s="17"/>
      <c r="E817" s="17"/>
      <c r="F817" s="17"/>
      <c r="G817" s="18"/>
      <c r="H817" s="17"/>
      <c r="I817" s="23"/>
      <c r="J817" s="17"/>
    </row>
    <row r="818" spans="1:11" x14ac:dyDescent="0.2">
      <c r="A818" s="16"/>
      <c r="B818" s="34"/>
      <c r="C818" s="16"/>
      <c r="D818" s="17"/>
      <c r="E818" s="17"/>
      <c r="F818" s="17"/>
      <c r="G818" s="18"/>
      <c r="H818" s="17"/>
      <c r="I818" s="23"/>
      <c r="J818" s="17"/>
    </row>
    <row r="819" spans="1:11" x14ac:dyDescent="0.2">
      <c r="A819" s="16"/>
      <c r="B819" s="34"/>
      <c r="C819" s="16"/>
      <c r="D819" s="17"/>
      <c r="E819" s="17"/>
      <c r="F819" s="17"/>
      <c r="G819" s="18"/>
      <c r="H819" s="17"/>
      <c r="I819" s="23"/>
      <c r="J819" s="17"/>
    </row>
    <row r="820" spans="1:11" x14ac:dyDescent="0.2">
      <c r="A820" s="16"/>
      <c r="B820" s="34"/>
      <c r="C820" s="16"/>
      <c r="D820" s="17"/>
      <c r="E820" s="17"/>
      <c r="F820" s="17"/>
      <c r="G820" s="18"/>
      <c r="H820" s="17"/>
      <c r="I820" s="23"/>
      <c r="J820" s="17"/>
    </row>
    <row r="821" spans="1:11" x14ac:dyDescent="0.2">
      <c r="A821" s="16"/>
      <c r="B821" s="34"/>
      <c r="C821" s="16"/>
      <c r="D821" s="17"/>
      <c r="E821" s="17"/>
      <c r="F821" s="17"/>
      <c r="G821" s="18"/>
      <c r="H821" s="17"/>
      <c r="I821" s="23"/>
      <c r="J821" s="17"/>
    </row>
    <row r="822" spans="1:11" x14ac:dyDescent="0.2">
      <c r="A822" s="16"/>
      <c r="B822" s="34"/>
      <c r="C822" s="16"/>
      <c r="D822" s="17"/>
      <c r="E822" s="17"/>
      <c r="F822" s="17"/>
      <c r="G822" s="18"/>
      <c r="H822" s="17"/>
      <c r="I822" s="23"/>
      <c r="J822" s="17"/>
      <c r="K822" s="54"/>
    </row>
    <row r="823" spans="1:11" x14ac:dyDescent="0.2">
      <c r="A823" s="16"/>
      <c r="B823" s="34"/>
      <c r="C823" s="16"/>
      <c r="D823" s="17"/>
      <c r="E823" s="17"/>
      <c r="F823" s="17"/>
      <c r="G823" s="18"/>
      <c r="H823" s="17"/>
      <c r="I823" s="23"/>
      <c r="J823" s="17"/>
    </row>
    <row r="824" spans="1:11" x14ac:dyDescent="0.2">
      <c r="A824" s="16"/>
      <c r="B824" s="34"/>
      <c r="C824" s="16"/>
      <c r="D824" s="17"/>
      <c r="E824" s="17"/>
      <c r="F824" s="17"/>
      <c r="G824" s="18"/>
      <c r="H824" s="17"/>
      <c r="I824" s="23"/>
      <c r="J824" s="17"/>
    </row>
    <row r="825" spans="1:11" x14ac:dyDescent="0.2">
      <c r="A825" s="16"/>
      <c r="B825" s="34"/>
      <c r="C825" s="16"/>
      <c r="D825" s="17"/>
      <c r="E825" s="17"/>
      <c r="F825" s="17"/>
      <c r="G825" s="18"/>
      <c r="H825" s="17"/>
      <c r="I825" s="23"/>
      <c r="J825" s="17"/>
    </row>
    <row r="826" spans="1:11" x14ac:dyDescent="0.2">
      <c r="A826" s="16"/>
      <c r="B826" s="34"/>
      <c r="C826" s="16"/>
      <c r="D826" s="17"/>
      <c r="E826" s="17"/>
      <c r="F826" s="17"/>
      <c r="G826" s="18"/>
      <c r="H826" s="17"/>
      <c r="I826" s="45"/>
      <c r="J826" s="45"/>
    </row>
    <row r="827" spans="1:11" x14ac:dyDescent="0.2">
      <c r="A827" s="16"/>
      <c r="B827" s="34"/>
      <c r="C827" s="16"/>
      <c r="D827" s="17"/>
      <c r="E827" s="17"/>
      <c r="F827" s="17"/>
      <c r="G827" s="18"/>
      <c r="H827" s="17"/>
      <c r="I827" s="23"/>
      <c r="J827" s="17"/>
    </row>
    <row r="828" spans="1:11" x14ac:dyDescent="0.2">
      <c r="A828" s="16"/>
      <c r="B828" s="34"/>
      <c r="C828" s="16"/>
      <c r="D828" s="17"/>
      <c r="E828" s="17"/>
      <c r="F828" s="17"/>
      <c r="G828" s="18"/>
      <c r="H828" s="17"/>
      <c r="I828" s="23"/>
      <c r="J828" s="17"/>
    </row>
    <row r="829" spans="1:11" x14ac:dyDescent="0.2">
      <c r="A829" s="16"/>
      <c r="B829" s="34"/>
      <c r="C829" s="16"/>
      <c r="D829" s="17"/>
      <c r="E829" s="17"/>
      <c r="F829" s="17"/>
      <c r="G829" s="18"/>
      <c r="H829" s="17"/>
      <c r="I829" s="23"/>
      <c r="J829" s="23"/>
    </row>
    <row r="830" spans="1:11" x14ac:dyDescent="0.2">
      <c r="A830" s="16"/>
      <c r="B830" s="34"/>
      <c r="C830" s="16"/>
      <c r="D830" s="17"/>
      <c r="E830" s="17"/>
      <c r="F830" s="17"/>
      <c r="G830" s="18"/>
      <c r="H830" s="17"/>
      <c r="I830" s="23"/>
      <c r="J830" s="17"/>
    </row>
    <row r="831" spans="1:11" x14ac:dyDescent="0.2">
      <c r="A831" s="16"/>
      <c r="B831" s="34"/>
      <c r="C831" s="16"/>
      <c r="D831" s="17"/>
      <c r="E831" s="17"/>
      <c r="F831" s="17"/>
      <c r="G831" s="18"/>
      <c r="H831" s="17"/>
      <c r="I831" s="23"/>
      <c r="J831" s="17"/>
    </row>
    <row r="832" spans="1:11" x14ac:dyDescent="0.2">
      <c r="A832" s="16"/>
      <c r="B832" s="34"/>
      <c r="C832" s="16"/>
      <c r="D832" s="17"/>
      <c r="E832" s="17"/>
      <c r="F832" s="17"/>
      <c r="G832" s="18"/>
      <c r="H832" s="17"/>
      <c r="I832" s="36"/>
      <c r="J832" s="36"/>
    </row>
    <row r="833" spans="1:10" x14ac:dyDescent="0.2">
      <c r="A833" s="16"/>
      <c r="B833" s="34"/>
      <c r="C833" s="16"/>
      <c r="D833" s="17"/>
      <c r="E833" s="17"/>
      <c r="F833" s="17"/>
      <c r="G833" s="18"/>
      <c r="H833" s="17"/>
      <c r="I833" s="23"/>
      <c r="J833" s="17"/>
    </row>
    <row r="834" spans="1:10" x14ac:dyDescent="0.2">
      <c r="A834" s="16"/>
      <c r="B834" s="34"/>
      <c r="C834" s="16"/>
      <c r="D834" s="17"/>
      <c r="E834" s="17"/>
      <c r="F834" s="17"/>
      <c r="G834" s="18"/>
      <c r="H834" s="17"/>
      <c r="I834" s="23"/>
      <c r="J834" s="23"/>
    </row>
    <row r="835" spans="1:10" x14ac:dyDescent="0.2">
      <c r="A835" s="16"/>
      <c r="B835" s="34"/>
      <c r="C835" s="16"/>
      <c r="D835" s="17"/>
      <c r="E835" s="17"/>
      <c r="F835" s="17"/>
      <c r="G835" s="18"/>
      <c r="H835" s="17"/>
      <c r="I835" s="23"/>
      <c r="J835" s="17"/>
    </row>
    <row r="836" spans="1:10" x14ac:dyDescent="0.2">
      <c r="A836" s="16"/>
      <c r="B836" s="34"/>
      <c r="C836" s="16"/>
      <c r="D836" s="17"/>
      <c r="E836" s="17"/>
      <c r="F836" s="17"/>
      <c r="G836" s="18"/>
      <c r="H836" s="17"/>
      <c r="I836" s="23"/>
      <c r="J836" s="17"/>
    </row>
    <row r="837" spans="1:10" x14ac:dyDescent="0.2">
      <c r="A837" s="16"/>
      <c r="B837" s="34"/>
      <c r="C837" s="16"/>
      <c r="D837" s="17"/>
      <c r="E837" s="17"/>
      <c r="F837" s="17"/>
      <c r="G837" s="18"/>
      <c r="H837" s="17"/>
      <c r="I837" s="23"/>
      <c r="J837" s="17"/>
    </row>
    <row r="838" spans="1:10" x14ac:dyDescent="0.2">
      <c r="A838" s="16"/>
      <c r="B838" s="34"/>
      <c r="C838" s="16"/>
      <c r="D838" s="17"/>
      <c r="E838" s="17"/>
      <c r="F838" s="17"/>
      <c r="G838" s="18"/>
      <c r="H838" s="17"/>
      <c r="I838" s="23"/>
      <c r="J838" s="17"/>
    </row>
    <row r="839" spans="1:10" x14ac:dyDescent="0.2">
      <c r="A839" s="16"/>
      <c r="B839" s="34"/>
      <c r="C839" s="16"/>
      <c r="D839" s="17"/>
      <c r="E839" s="17"/>
      <c r="F839" s="17"/>
      <c r="G839" s="18"/>
      <c r="H839" s="17"/>
      <c r="I839" s="23"/>
      <c r="J839" s="17"/>
    </row>
    <row r="840" spans="1:10" x14ac:dyDescent="0.2">
      <c r="A840" s="16"/>
      <c r="B840" s="34"/>
      <c r="C840" s="16"/>
      <c r="D840" s="17"/>
      <c r="E840" s="17"/>
      <c r="F840" s="17"/>
      <c r="G840" s="18"/>
      <c r="H840" s="17"/>
      <c r="I840" s="23"/>
      <c r="J840" s="17"/>
    </row>
    <row r="841" spans="1:10" x14ac:dyDescent="0.2">
      <c r="A841" s="16"/>
      <c r="B841" s="34"/>
      <c r="C841" s="16"/>
      <c r="D841" s="17"/>
      <c r="E841" s="17"/>
      <c r="F841" s="17"/>
      <c r="G841" s="18"/>
      <c r="H841" s="17"/>
      <c r="I841" s="23"/>
      <c r="J841" s="17"/>
    </row>
    <row r="842" spans="1:10" x14ac:dyDescent="0.2">
      <c r="A842" s="16"/>
      <c r="B842" s="34"/>
      <c r="C842" s="16"/>
      <c r="D842" s="17"/>
      <c r="E842" s="17"/>
      <c r="F842" s="17"/>
      <c r="G842" s="18"/>
      <c r="H842" s="17"/>
      <c r="I842" s="23"/>
      <c r="J842" s="17"/>
    </row>
    <row r="843" spans="1:10" x14ac:dyDescent="0.2">
      <c r="A843" s="16"/>
      <c r="B843" s="34"/>
      <c r="C843" s="16"/>
      <c r="D843" s="17"/>
      <c r="E843" s="17"/>
      <c r="F843" s="17"/>
      <c r="G843" s="18"/>
      <c r="H843" s="17"/>
      <c r="I843" s="23"/>
      <c r="J843" s="17"/>
    </row>
    <row r="844" spans="1:10" x14ac:dyDescent="0.2">
      <c r="A844" s="16"/>
      <c r="B844" s="34"/>
      <c r="C844" s="16"/>
      <c r="D844" s="17"/>
      <c r="E844" s="17"/>
      <c r="F844" s="17"/>
      <c r="G844" s="18"/>
      <c r="H844" s="17"/>
      <c r="I844" s="23"/>
      <c r="J844" s="17"/>
    </row>
    <row r="845" spans="1:10" x14ac:dyDescent="0.2">
      <c r="A845" s="16"/>
      <c r="B845" s="34"/>
      <c r="C845" s="16"/>
      <c r="D845" s="17"/>
      <c r="E845" s="17"/>
      <c r="F845" s="17"/>
      <c r="G845" s="18"/>
      <c r="H845" s="17"/>
      <c r="I845" s="23"/>
      <c r="J845" s="17"/>
    </row>
    <row r="846" spans="1:10" x14ac:dyDescent="0.2">
      <c r="A846" s="16"/>
      <c r="B846" s="34"/>
      <c r="C846" s="16"/>
      <c r="D846" s="17"/>
      <c r="E846" s="17"/>
      <c r="F846" s="17"/>
      <c r="G846" s="18"/>
      <c r="H846" s="17"/>
      <c r="I846" s="23"/>
      <c r="J846" s="17"/>
    </row>
    <row r="847" spans="1:10" x14ac:dyDescent="0.2">
      <c r="A847" s="16"/>
      <c r="B847" s="34"/>
      <c r="C847" s="16"/>
      <c r="D847" s="17"/>
      <c r="E847" s="17"/>
      <c r="F847" s="17"/>
      <c r="G847" s="18"/>
      <c r="H847" s="17"/>
      <c r="I847" s="23"/>
      <c r="J847" s="17"/>
    </row>
    <row r="848" spans="1:10" x14ac:dyDescent="0.2">
      <c r="A848" s="16"/>
      <c r="B848" s="34"/>
      <c r="C848" s="16"/>
      <c r="D848" s="17"/>
      <c r="E848" s="17"/>
      <c r="F848" s="17"/>
      <c r="G848" s="18"/>
      <c r="H848" s="17"/>
      <c r="I848" s="23"/>
      <c r="J848" s="17"/>
    </row>
    <row r="849" spans="1:10" x14ac:dyDescent="0.2">
      <c r="A849" s="16"/>
      <c r="B849" s="34"/>
      <c r="C849" s="16"/>
      <c r="D849" s="17"/>
      <c r="E849" s="17"/>
      <c r="F849" s="17"/>
      <c r="G849" s="18"/>
      <c r="H849" s="17"/>
      <c r="I849" s="23"/>
      <c r="J849" s="23"/>
    </row>
    <row r="850" spans="1:10" x14ac:dyDescent="0.2">
      <c r="A850" s="16"/>
      <c r="B850" s="34"/>
      <c r="C850" s="16"/>
      <c r="D850" s="17"/>
      <c r="E850" s="17"/>
      <c r="F850" s="17"/>
      <c r="G850" s="18"/>
      <c r="H850" s="17"/>
      <c r="I850" s="23"/>
      <c r="J850" s="17"/>
    </row>
    <row r="851" spans="1:10" x14ac:dyDescent="0.2">
      <c r="A851" s="16"/>
      <c r="B851" s="34"/>
      <c r="C851" s="16"/>
      <c r="D851" s="17"/>
      <c r="E851" s="17"/>
      <c r="F851" s="17"/>
      <c r="G851" s="18"/>
      <c r="H851" s="17"/>
      <c r="I851" s="23"/>
      <c r="J851" s="17"/>
    </row>
    <row r="852" spans="1:10" x14ac:dyDescent="0.2">
      <c r="A852" s="16"/>
      <c r="B852" s="34"/>
      <c r="C852" s="16"/>
      <c r="D852" s="17"/>
      <c r="E852" s="17"/>
      <c r="F852" s="17"/>
      <c r="G852" s="18"/>
      <c r="H852" s="17"/>
      <c r="I852" s="23"/>
      <c r="J852" s="17"/>
    </row>
    <row r="853" spans="1:10" x14ac:dyDescent="0.2">
      <c r="A853" s="16"/>
      <c r="B853" s="34"/>
      <c r="C853" s="16"/>
      <c r="D853" s="17"/>
      <c r="E853" s="17"/>
      <c r="F853" s="17"/>
      <c r="G853" s="18"/>
      <c r="H853" s="17"/>
      <c r="I853" s="23"/>
      <c r="J853" s="17"/>
    </row>
    <row r="854" spans="1:10" x14ac:dyDescent="0.2">
      <c r="A854" s="16"/>
      <c r="B854" s="34"/>
      <c r="C854" s="16"/>
      <c r="D854" s="17"/>
      <c r="E854" s="17"/>
      <c r="F854" s="17"/>
      <c r="G854" s="18"/>
      <c r="H854" s="17"/>
      <c r="I854" s="23"/>
      <c r="J854" s="17"/>
    </row>
    <row r="855" spans="1:10" x14ac:dyDescent="0.2">
      <c r="A855" s="16"/>
      <c r="B855" s="34"/>
      <c r="C855" s="16"/>
      <c r="D855" s="17"/>
      <c r="E855" s="17"/>
      <c r="F855" s="17"/>
      <c r="G855" s="18"/>
      <c r="H855" s="17"/>
      <c r="I855" s="23"/>
      <c r="J855" s="17"/>
    </row>
    <row r="856" spans="1:10" x14ac:dyDescent="0.2">
      <c r="A856" s="16"/>
      <c r="B856" s="34"/>
      <c r="C856" s="16"/>
      <c r="D856" s="17"/>
      <c r="E856" s="17"/>
      <c r="F856" s="17"/>
      <c r="G856" s="18"/>
      <c r="H856" s="17"/>
      <c r="I856" s="23"/>
      <c r="J856" s="17"/>
    </row>
    <row r="857" spans="1:10" x14ac:dyDescent="0.2">
      <c r="A857" s="16"/>
      <c r="B857" s="34"/>
      <c r="C857" s="16"/>
      <c r="D857" s="17"/>
      <c r="E857" s="17"/>
      <c r="F857" s="17"/>
      <c r="G857" s="18"/>
      <c r="H857" s="17"/>
      <c r="I857" s="23"/>
      <c r="J857" s="17"/>
    </row>
    <row r="858" spans="1:10" x14ac:dyDescent="0.2">
      <c r="A858" s="16"/>
      <c r="B858" s="34"/>
      <c r="C858" s="16"/>
      <c r="D858" s="17"/>
      <c r="E858" s="17"/>
      <c r="F858" s="17"/>
      <c r="G858" s="18"/>
      <c r="H858" s="17"/>
      <c r="I858" s="23"/>
      <c r="J858" s="17"/>
    </row>
    <row r="859" spans="1:10" x14ac:dyDescent="0.2">
      <c r="A859" s="16"/>
      <c r="B859" s="34"/>
      <c r="C859" s="16"/>
      <c r="D859" s="17"/>
      <c r="E859" s="17"/>
      <c r="F859" s="17"/>
      <c r="G859" s="18"/>
      <c r="H859" s="17"/>
      <c r="I859" s="23"/>
      <c r="J859" s="17"/>
    </row>
    <row r="860" spans="1:10" x14ac:dyDescent="0.2">
      <c r="A860" s="16"/>
      <c r="B860" s="34"/>
      <c r="C860" s="16"/>
      <c r="D860" s="17"/>
      <c r="E860" s="17"/>
      <c r="F860" s="17"/>
      <c r="G860" s="18"/>
      <c r="H860" s="17"/>
      <c r="I860" s="23"/>
      <c r="J860" s="23"/>
    </row>
    <row r="861" spans="1:10" x14ac:dyDescent="0.2">
      <c r="A861" s="16"/>
      <c r="B861" s="34"/>
      <c r="C861" s="16"/>
      <c r="D861" s="17"/>
      <c r="E861" s="17"/>
      <c r="F861" s="17"/>
      <c r="G861" s="18"/>
      <c r="H861" s="17"/>
      <c r="I861" s="23"/>
      <c r="J861" s="17"/>
    </row>
    <row r="862" spans="1:10" x14ac:dyDescent="0.2">
      <c r="A862" s="16"/>
      <c r="B862" s="34"/>
      <c r="C862" s="16"/>
      <c r="D862" s="17"/>
      <c r="E862" s="17"/>
      <c r="F862" s="17"/>
      <c r="G862" s="18"/>
      <c r="H862" s="17"/>
      <c r="I862" s="23"/>
      <c r="J862" s="17"/>
    </row>
    <row r="863" spans="1:10" x14ac:dyDescent="0.2">
      <c r="A863" s="16"/>
      <c r="B863" s="34"/>
      <c r="C863" s="16"/>
      <c r="D863" s="17"/>
      <c r="E863" s="17"/>
      <c r="F863" s="17"/>
      <c r="G863" s="18"/>
      <c r="H863" s="17"/>
      <c r="I863" s="23"/>
      <c r="J863" s="17"/>
    </row>
    <row r="864" spans="1:10" x14ac:dyDescent="0.2">
      <c r="A864" s="16"/>
      <c r="B864" s="34"/>
      <c r="C864" s="16"/>
      <c r="D864" s="17"/>
      <c r="E864" s="17"/>
      <c r="F864" s="17"/>
      <c r="G864" s="18"/>
      <c r="H864" s="17"/>
      <c r="I864" s="23"/>
      <c r="J864" s="17"/>
    </row>
    <row r="865" spans="1:10" x14ac:dyDescent="0.2">
      <c r="A865" s="16"/>
      <c r="B865" s="34"/>
      <c r="C865" s="16"/>
      <c r="D865" s="17"/>
      <c r="E865" s="17"/>
      <c r="F865" s="17"/>
      <c r="G865" s="18"/>
      <c r="H865" s="17"/>
      <c r="I865" s="23"/>
      <c r="J865" s="17"/>
    </row>
    <row r="866" spans="1:10" x14ac:dyDescent="0.2">
      <c r="A866" s="16"/>
      <c r="B866" s="34"/>
      <c r="C866" s="16"/>
      <c r="D866" s="17"/>
      <c r="E866" s="17"/>
      <c r="F866" s="17"/>
      <c r="G866" s="18"/>
      <c r="H866" s="17"/>
      <c r="I866" s="23"/>
      <c r="J866" s="17"/>
    </row>
    <row r="867" spans="1:10" x14ac:dyDescent="0.2">
      <c r="A867" s="16"/>
      <c r="B867" s="34"/>
      <c r="C867" s="16"/>
      <c r="D867" s="17"/>
      <c r="E867" s="17"/>
      <c r="F867" s="17"/>
      <c r="G867" s="18"/>
      <c r="H867" s="17"/>
      <c r="I867" s="23"/>
      <c r="J867" s="17"/>
    </row>
    <row r="868" spans="1:10" x14ac:dyDescent="0.2">
      <c r="A868" s="16"/>
      <c r="B868" s="34"/>
      <c r="C868" s="16"/>
      <c r="D868" s="17"/>
      <c r="E868" s="17"/>
      <c r="F868" s="17"/>
      <c r="G868" s="18"/>
      <c r="H868" s="17"/>
      <c r="I868" s="23"/>
      <c r="J868" s="17"/>
    </row>
    <row r="869" spans="1:10" x14ac:dyDescent="0.2">
      <c r="A869" s="16"/>
      <c r="B869" s="34"/>
      <c r="C869" s="16"/>
      <c r="D869" s="17"/>
      <c r="E869" s="17"/>
      <c r="F869" s="17"/>
      <c r="G869" s="18"/>
      <c r="H869" s="17"/>
      <c r="I869" s="23"/>
      <c r="J869" s="17"/>
    </row>
    <row r="870" spans="1:10" x14ac:dyDescent="0.2">
      <c r="A870" s="16"/>
      <c r="B870" s="34"/>
      <c r="C870" s="16"/>
      <c r="D870" s="17"/>
      <c r="E870" s="17"/>
      <c r="F870" s="17"/>
      <c r="G870" s="18"/>
      <c r="H870" s="17"/>
      <c r="I870" s="23"/>
      <c r="J870" s="17"/>
    </row>
    <row r="871" spans="1:10" x14ac:dyDescent="0.2">
      <c r="A871" s="16"/>
      <c r="B871" s="34"/>
      <c r="C871" s="16"/>
      <c r="D871" s="17"/>
      <c r="E871" s="17"/>
      <c r="F871" s="17"/>
      <c r="G871" s="18"/>
      <c r="H871" s="17"/>
      <c r="I871" s="23"/>
      <c r="J871" s="17"/>
    </row>
    <row r="872" spans="1:10" x14ac:dyDescent="0.2">
      <c r="A872" s="16"/>
      <c r="B872" s="34"/>
      <c r="C872" s="16"/>
      <c r="D872" s="17"/>
      <c r="E872" s="17"/>
      <c r="F872" s="17"/>
      <c r="G872" s="18"/>
      <c r="H872" s="17"/>
      <c r="I872" s="23"/>
      <c r="J872" s="17"/>
    </row>
    <row r="873" spans="1:10" x14ac:dyDescent="0.2">
      <c r="A873" s="16"/>
      <c r="B873" s="34"/>
      <c r="C873" s="16"/>
      <c r="D873" s="17"/>
      <c r="E873" s="17"/>
      <c r="F873" s="17"/>
      <c r="G873" s="18"/>
      <c r="H873" s="17"/>
      <c r="I873" s="23"/>
      <c r="J873" s="17"/>
    </row>
    <row r="874" spans="1:10" x14ac:dyDescent="0.2">
      <c r="A874" s="16"/>
      <c r="B874" s="34"/>
      <c r="C874" s="16"/>
      <c r="D874" s="17"/>
      <c r="E874" s="17"/>
      <c r="F874" s="17"/>
      <c r="G874" s="18"/>
      <c r="H874" s="17"/>
      <c r="I874" s="36"/>
      <c r="J874" s="36"/>
    </row>
    <row r="875" spans="1:10" x14ac:dyDescent="0.2">
      <c r="A875" s="16"/>
      <c r="B875" s="34"/>
      <c r="C875" s="16"/>
      <c r="D875" s="17"/>
      <c r="E875" s="17"/>
      <c r="F875" s="17"/>
      <c r="G875" s="18"/>
      <c r="H875" s="17"/>
      <c r="I875" s="23"/>
      <c r="J875" s="17"/>
    </row>
    <row r="876" spans="1:10" x14ac:dyDescent="0.2">
      <c r="A876" s="16"/>
      <c r="B876" s="34"/>
      <c r="C876" s="16"/>
      <c r="D876" s="17"/>
      <c r="E876" s="17"/>
      <c r="F876" s="17"/>
      <c r="G876" s="18"/>
      <c r="H876" s="17"/>
      <c r="I876" s="23"/>
      <c r="J876" s="17"/>
    </row>
    <row r="877" spans="1:10" x14ac:dyDescent="0.2">
      <c r="A877" s="16"/>
      <c r="B877" s="34"/>
      <c r="C877" s="16"/>
      <c r="D877" s="17"/>
      <c r="E877" s="17"/>
      <c r="F877" s="17"/>
      <c r="G877" s="18"/>
      <c r="H877" s="17"/>
      <c r="I877" s="23"/>
      <c r="J877" s="17"/>
    </row>
    <row r="878" spans="1:10" x14ac:dyDescent="0.2">
      <c r="A878" s="16"/>
      <c r="B878" s="34"/>
      <c r="C878" s="16"/>
      <c r="D878" s="17"/>
      <c r="E878" s="17"/>
      <c r="F878" s="17"/>
      <c r="G878" s="18"/>
      <c r="H878" s="17"/>
      <c r="I878" s="23"/>
      <c r="J878" s="17"/>
    </row>
    <row r="879" spans="1:10" x14ac:dyDescent="0.2">
      <c r="A879" s="16"/>
      <c r="B879" s="34"/>
      <c r="C879" s="16"/>
      <c r="D879" s="17"/>
      <c r="E879" s="17"/>
      <c r="F879" s="17"/>
      <c r="G879" s="18"/>
      <c r="H879" s="17"/>
      <c r="I879" s="23"/>
      <c r="J879" s="17"/>
    </row>
    <row r="880" spans="1:10" x14ac:dyDescent="0.2">
      <c r="A880" s="16"/>
      <c r="B880" s="34"/>
      <c r="C880" s="16"/>
      <c r="D880" s="17"/>
      <c r="E880" s="17"/>
      <c r="F880" s="17"/>
      <c r="G880" s="18"/>
      <c r="H880" s="17"/>
      <c r="I880" s="23"/>
      <c r="J880" s="17"/>
    </row>
    <row r="881" spans="1:10" x14ac:dyDescent="0.2">
      <c r="A881" s="16"/>
      <c r="B881" s="34"/>
      <c r="C881" s="16"/>
      <c r="D881" s="17"/>
      <c r="E881" s="17"/>
      <c r="F881" s="17"/>
      <c r="G881" s="18"/>
      <c r="H881" s="17"/>
      <c r="I881" s="23"/>
      <c r="J881" s="17"/>
    </row>
    <row r="882" spans="1:10" x14ac:dyDescent="0.2">
      <c r="A882" s="16"/>
      <c r="B882" s="34"/>
      <c r="C882" s="16"/>
      <c r="D882" s="17"/>
      <c r="E882" s="17"/>
      <c r="F882" s="17"/>
      <c r="G882" s="18"/>
      <c r="H882" s="17"/>
      <c r="I882" s="23"/>
      <c r="J882" s="17"/>
    </row>
    <row r="883" spans="1:10" x14ac:dyDescent="0.2">
      <c r="A883" s="16"/>
      <c r="B883" s="34"/>
      <c r="C883" s="16"/>
      <c r="D883" s="17"/>
      <c r="E883" s="17"/>
      <c r="F883" s="17"/>
      <c r="G883" s="18"/>
      <c r="H883" s="17"/>
      <c r="I883" s="23"/>
      <c r="J883" s="17"/>
    </row>
    <row r="884" spans="1:10" x14ac:dyDescent="0.2">
      <c r="A884" s="16"/>
      <c r="B884" s="34"/>
      <c r="C884" s="16"/>
      <c r="D884" s="17"/>
      <c r="E884" s="17"/>
      <c r="F884" s="17"/>
      <c r="G884" s="18"/>
      <c r="H884" s="17"/>
      <c r="I884" s="23"/>
      <c r="J884" s="17"/>
    </row>
    <row r="885" spans="1:10" x14ac:dyDescent="0.2">
      <c r="A885" s="16"/>
      <c r="B885" s="34"/>
      <c r="C885" s="16"/>
      <c r="D885" s="17"/>
      <c r="E885" s="17"/>
      <c r="F885" s="17"/>
      <c r="G885" s="18"/>
      <c r="H885" s="17"/>
      <c r="I885" s="23"/>
      <c r="J885" s="17"/>
    </row>
    <row r="886" spans="1:10" x14ac:dyDescent="0.2">
      <c r="A886" s="16"/>
      <c r="B886" s="34"/>
      <c r="C886" s="16"/>
      <c r="D886" s="17"/>
      <c r="E886" s="17"/>
      <c r="F886" s="17"/>
      <c r="G886" s="18"/>
      <c r="H886" s="17"/>
      <c r="I886" s="23"/>
      <c r="J886" s="17"/>
    </row>
    <row r="887" spans="1:10" x14ac:dyDescent="0.2">
      <c r="A887" s="16"/>
      <c r="B887" s="34"/>
      <c r="C887" s="16"/>
      <c r="D887" s="17"/>
      <c r="E887" s="17"/>
      <c r="F887" s="17"/>
      <c r="G887" s="18"/>
      <c r="H887" s="17"/>
      <c r="I887" s="23"/>
      <c r="J887" s="17"/>
    </row>
    <row r="888" spans="1:10" x14ac:dyDescent="0.2">
      <c r="A888" s="16"/>
      <c r="B888" s="34"/>
      <c r="C888" s="16"/>
      <c r="D888" s="17"/>
      <c r="E888" s="17"/>
      <c r="F888" s="17"/>
      <c r="G888" s="18"/>
      <c r="H888" s="17"/>
      <c r="I888" s="23"/>
      <c r="J888" s="17"/>
    </row>
    <row r="889" spans="1:10" x14ac:dyDescent="0.2">
      <c r="A889" s="16"/>
      <c r="B889" s="34"/>
      <c r="C889" s="16"/>
      <c r="D889" s="17"/>
      <c r="E889" s="17"/>
      <c r="F889" s="17"/>
      <c r="G889" s="18"/>
      <c r="H889" s="17"/>
      <c r="I889" s="23"/>
      <c r="J889" s="17"/>
    </row>
    <row r="890" spans="1:10" x14ac:dyDescent="0.2">
      <c r="A890" s="16"/>
      <c r="B890" s="34"/>
      <c r="C890" s="16"/>
      <c r="D890" s="17"/>
      <c r="E890" s="17"/>
      <c r="F890" s="17"/>
      <c r="G890" s="18"/>
      <c r="H890" s="17"/>
      <c r="I890" s="23"/>
      <c r="J890" s="17"/>
    </row>
    <row r="891" spans="1:10" x14ac:dyDescent="0.2">
      <c r="A891" s="16"/>
      <c r="B891" s="34"/>
      <c r="C891" s="16"/>
      <c r="D891" s="17"/>
      <c r="E891" s="17"/>
      <c r="F891" s="17"/>
      <c r="G891" s="18"/>
      <c r="H891" s="17"/>
      <c r="I891" s="23"/>
      <c r="J891" s="17"/>
    </row>
    <row r="892" spans="1:10" x14ac:dyDescent="0.2">
      <c r="A892" s="16"/>
      <c r="B892" s="34"/>
      <c r="C892" s="16"/>
      <c r="D892" s="17"/>
      <c r="E892" s="17"/>
      <c r="F892" s="17"/>
      <c r="G892" s="18"/>
      <c r="H892" s="17"/>
      <c r="I892" s="23"/>
      <c r="J892" s="17"/>
    </row>
    <row r="893" spans="1:10" x14ac:dyDescent="0.2">
      <c r="A893" s="16"/>
      <c r="B893" s="34"/>
      <c r="C893" s="16"/>
      <c r="D893" s="17"/>
      <c r="E893" s="17"/>
      <c r="F893" s="17"/>
      <c r="G893" s="18"/>
      <c r="H893" s="17"/>
      <c r="I893" s="23"/>
      <c r="J893" s="17"/>
    </row>
    <row r="894" spans="1:10" x14ac:dyDescent="0.2">
      <c r="A894" s="16"/>
      <c r="B894" s="34"/>
      <c r="C894" s="16"/>
      <c r="D894" s="17"/>
      <c r="E894" s="17"/>
      <c r="F894" s="17"/>
      <c r="G894" s="46"/>
      <c r="H894" s="17"/>
      <c r="I894" s="23"/>
      <c r="J894" s="17"/>
    </row>
    <row r="895" spans="1:10" x14ac:dyDescent="0.2">
      <c r="A895" s="16"/>
      <c r="B895" s="34"/>
      <c r="C895" s="16"/>
      <c r="D895" s="17"/>
      <c r="E895" s="17"/>
      <c r="F895" s="17"/>
      <c r="G895" s="18"/>
      <c r="H895" s="17"/>
      <c r="I895" s="23"/>
      <c r="J895" s="17"/>
    </row>
    <row r="896" spans="1:10" x14ac:dyDescent="0.2">
      <c r="A896" s="16"/>
      <c r="B896" s="34"/>
      <c r="C896" s="16"/>
      <c r="D896" s="17"/>
      <c r="E896" s="17"/>
      <c r="F896" s="17"/>
      <c r="G896" s="18"/>
      <c r="H896" s="17"/>
      <c r="I896" s="23"/>
      <c r="J896" s="17"/>
    </row>
    <row r="897" spans="1:10" x14ac:dyDescent="0.2">
      <c r="A897" s="16"/>
      <c r="B897" s="34"/>
      <c r="C897" s="16"/>
      <c r="D897" s="17"/>
      <c r="E897" s="17"/>
      <c r="F897" s="17"/>
      <c r="G897" s="18"/>
      <c r="H897" s="17"/>
      <c r="I897" s="23"/>
      <c r="J897" s="17"/>
    </row>
    <row r="898" spans="1:10" x14ac:dyDescent="0.2">
      <c r="A898" s="16"/>
      <c r="B898" s="34"/>
      <c r="C898" s="16"/>
      <c r="D898" s="17"/>
      <c r="E898" s="17"/>
      <c r="F898" s="17"/>
      <c r="G898" s="18"/>
      <c r="H898" s="17"/>
      <c r="I898" s="23"/>
      <c r="J898" s="17"/>
    </row>
    <row r="899" spans="1:10" x14ac:dyDescent="0.2">
      <c r="A899" s="16"/>
      <c r="B899" s="34"/>
      <c r="C899" s="16"/>
      <c r="D899" s="17"/>
      <c r="E899" s="17"/>
      <c r="F899" s="17"/>
      <c r="G899" s="18"/>
      <c r="H899" s="17"/>
      <c r="I899" s="37"/>
      <c r="J899" s="37"/>
    </row>
    <row r="900" spans="1:10" x14ac:dyDescent="0.2">
      <c r="A900" s="16"/>
      <c r="B900" s="34"/>
      <c r="C900" s="16"/>
      <c r="D900" s="17"/>
      <c r="E900" s="17"/>
      <c r="F900" s="17"/>
      <c r="G900" s="18"/>
      <c r="H900" s="17"/>
      <c r="I900" s="23"/>
      <c r="J900" s="17"/>
    </row>
    <row r="901" spans="1:10" x14ac:dyDescent="0.2">
      <c r="A901" s="16"/>
      <c r="B901" s="34"/>
      <c r="C901" s="16"/>
      <c r="D901" s="17"/>
      <c r="E901" s="17"/>
      <c r="F901" s="17"/>
      <c r="G901" s="18"/>
      <c r="H901" s="17"/>
      <c r="I901" s="23"/>
      <c r="J901" s="17"/>
    </row>
    <row r="902" spans="1:10" x14ac:dyDescent="0.2">
      <c r="A902" s="16"/>
      <c r="B902" s="34"/>
      <c r="C902" s="16"/>
      <c r="D902" s="17"/>
      <c r="E902" s="17"/>
      <c r="F902" s="17"/>
      <c r="G902" s="18"/>
      <c r="H902" s="17"/>
      <c r="I902" s="23"/>
      <c r="J902" s="17"/>
    </row>
    <row r="903" spans="1:10" x14ac:dyDescent="0.2">
      <c r="A903" s="16"/>
      <c r="B903" s="34"/>
      <c r="C903" s="16"/>
      <c r="D903" s="17"/>
      <c r="E903" s="17"/>
      <c r="F903" s="17"/>
      <c r="G903" s="18"/>
      <c r="H903" s="17"/>
      <c r="I903" s="23"/>
      <c r="J903" s="23"/>
    </row>
    <row r="904" spans="1:10" x14ac:dyDescent="0.2">
      <c r="A904" s="16"/>
      <c r="B904" s="34"/>
      <c r="C904" s="16"/>
      <c r="D904" s="17"/>
      <c r="E904" s="17"/>
      <c r="F904" s="17"/>
      <c r="G904" s="18"/>
      <c r="H904" s="17"/>
      <c r="I904" s="23"/>
      <c r="J904" s="17"/>
    </row>
    <row r="905" spans="1:10" x14ac:dyDescent="0.2">
      <c r="A905" s="16"/>
      <c r="B905" s="34"/>
      <c r="C905" s="16"/>
      <c r="D905" s="17"/>
      <c r="E905" s="17"/>
      <c r="F905" s="17"/>
      <c r="G905" s="18"/>
      <c r="H905" s="17"/>
      <c r="I905" s="23"/>
      <c r="J905" s="17"/>
    </row>
    <row r="906" spans="1:10" x14ac:dyDescent="0.2">
      <c r="A906" s="16"/>
      <c r="B906" s="34"/>
      <c r="C906" s="16"/>
      <c r="D906" s="17"/>
      <c r="E906" s="17"/>
      <c r="F906" s="17"/>
      <c r="G906" s="18"/>
      <c r="H906" s="17"/>
      <c r="I906" s="23"/>
      <c r="J906" s="17"/>
    </row>
    <row r="907" spans="1:10" x14ac:dyDescent="0.2">
      <c r="A907" s="16"/>
      <c r="B907" s="34"/>
      <c r="C907" s="16"/>
      <c r="D907" s="17"/>
      <c r="E907" s="17"/>
      <c r="F907" s="17"/>
      <c r="G907" s="18"/>
      <c r="H907" s="17"/>
      <c r="I907" s="23"/>
      <c r="J907" s="17"/>
    </row>
    <row r="908" spans="1:10" x14ac:dyDescent="0.2">
      <c r="A908" s="16"/>
      <c r="B908" s="34"/>
      <c r="C908" s="16"/>
      <c r="D908" s="17"/>
      <c r="E908" s="17"/>
      <c r="F908" s="17"/>
      <c r="G908" s="18"/>
      <c r="H908" s="17"/>
      <c r="I908" s="23"/>
      <c r="J908" s="17"/>
    </row>
    <row r="909" spans="1:10" x14ac:dyDescent="0.2">
      <c r="A909" s="16"/>
      <c r="B909" s="34"/>
      <c r="C909" s="16"/>
      <c r="D909" s="17"/>
      <c r="E909" s="17"/>
      <c r="F909" s="17"/>
      <c r="G909" s="18"/>
      <c r="H909" s="17"/>
      <c r="I909" s="23"/>
      <c r="J909" s="17"/>
    </row>
    <row r="910" spans="1:10" x14ac:dyDescent="0.2">
      <c r="A910" s="16"/>
      <c r="B910" s="34"/>
      <c r="C910" s="16"/>
      <c r="D910" s="17"/>
      <c r="E910" s="17"/>
      <c r="F910" s="17"/>
      <c r="G910" s="18"/>
      <c r="H910" s="17"/>
      <c r="I910" s="23"/>
      <c r="J910" s="17"/>
    </row>
    <row r="911" spans="1:10" x14ac:dyDescent="0.2">
      <c r="A911" s="16"/>
      <c r="B911" s="34"/>
      <c r="C911" s="16"/>
      <c r="D911" s="17"/>
      <c r="E911" s="17"/>
      <c r="F911" s="17"/>
      <c r="G911" s="18"/>
      <c r="H911" s="17"/>
      <c r="I911" s="23"/>
      <c r="J911" s="17"/>
    </row>
    <row r="912" spans="1:10" x14ac:dyDescent="0.2">
      <c r="A912" s="16"/>
      <c r="B912" s="34"/>
      <c r="C912" s="16"/>
      <c r="D912" s="17"/>
      <c r="E912" s="17"/>
      <c r="F912" s="17"/>
      <c r="G912" s="18"/>
      <c r="H912" s="17"/>
      <c r="I912" s="23"/>
      <c r="J912" s="17"/>
    </row>
    <row r="913" spans="1:10" x14ac:dyDescent="0.2">
      <c r="A913" s="16"/>
      <c r="B913" s="34"/>
      <c r="C913" s="16"/>
      <c r="D913" s="17"/>
      <c r="E913" s="17"/>
      <c r="F913" s="17"/>
      <c r="G913" s="18"/>
      <c r="H913" s="17"/>
      <c r="I913" s="23"/>
      <c r="J913" s="17"/>
    </row>
    <row r="914" spans="1:10" x14ac:dyDescent="0.2">
      <c r="A914" s="16"/>
      <c r="B914" s="34"/>
      <c r="C914" s="16"/>
      <c r="D914" s="17"/>
      <c r="E914" s="17"/>
      <c r="F914" s="17"/>
      <c r="G914" s="18"/>
      <c r="H914" s="17"/>
      <c r="I914" s="23"/>
      <c r="J914" s="17"/>
    </row>
    <row r="915" spans="1:10" x14ac:dyDescent="0.2">
      <c r="A915" s="16"/>
      <c r="B915" s="34"/>
      <c r="C915" s="16"/>
      <c r="D915" s="17"/>
      <c r="E915" s="17"/>
      <c r="F915" s="17"/>
      <c r="G915" s="18"/>
      <c r="H915" s="17"/>
      <c r="I915" s="23"/>
      <c r="J915" s="23"/>
    </row>
    <row r="916" spans="1:10" x14ac:dyDescent="0.2">
      <c r="A916" s="16"/>
      <c r="B916" s="34"/>
      <c r="C916" s="16"/>
      <c r="D916" s="17"/>
      <c r="E916" s="17"/>
      <c r="F916" s="17"/>
      <c r="G916" s="18"/>
      <c r="H916" s="17"/>
      <c r="I916" s="23"/>
      <c r="J916" s="17"/>
    </row>
    <row r="917" spans="1:10" x14ac:dyDescent="0.2">
      <c r="A917" s="16"/>
      <c r="B917" s="34"/>
      <c r="C917" s="16"/>
      <c r="D917" s="17"/>
      <c r="E917" s="17"/>
      <c r="F917" s="17"/>
      <c r="G917" s="18"/>
      <c r="H917" s="17"/>
      <c r="I917" s="23"/>
      <c r="J917" s="17"/>
    </row>
    <row r="918" spans="1:10" x14ac:dyDescent="0.2">
      <c r="A918" s="16"/>
      <c r="B918" s="35"/>
      <c r="C918" s="16"/>
      <c r="D918" s="17"/>
      <c r="E918" s="17"/>
      <c r="F918" s="17"/>
      <c r="G918" s="18"/>
      <c r="H918" s="17"/>
      <c r="I918" s="17"/>
      <c r="J918" s="17"/>
    </row>
    <row r="919" spans="1:10" x14ac:dyDescent="0.2">
      <c r="A919" s="16"/>
      <c r="B919" s="34"/>
      <c r="C919" s="16"/>
      <c r="D919" s="17"/>
      <c r="E919" s="17"/>
      <c r="F919" s="17"/>
      <c r="G919" s="18"/>
      <c r="H919" s="17"/>
      <c r="I919" s="23"/>
      <c r="J919" s="17"/>
    </row>
    <row r="920" spans="1:10" x14ac:dyDescent="0.2">
      <c r="A920" s="16"/>
      <c r="B920" s="34"/>
      <c r="C920" s="16"/>
      <c r="D920" s="17"/>
      <c r="E920" s="17"/>
      <c r="F920" s="17"/>
      <c r="G920" s="18"/>
      <c r="H920" s="17"/>
      <c r="I920" s="23"/>
      <c r="J920" s="17"/>
    </row>
    <row r="921" spans="1:10" x14ac:dyDescent="0.2">
      <c r="A921" s="16"/>
      <c r="B921" s="34"/>
      <c r="C921" s="16"/>
      <c r="D921" s="17"/>
      <c r="E921" s="17"/>
      <c r="F921" s="17"/>
      <c r="G921" s="18"/>
      <c r="H921" s="17"/>
      <c r="I921" s="37"/>
      <c r="J921" s="38"/>
    </row>
    <row r="922" spans="1:10" x14ac:dyDescent="0.2">
      <c r="A922" s="16"/>
      <c r="B922" s="34"/>
      <c r="C922" s="16"/>
      <c r="D922" s="17"/>
      <c r="E922" s="17"/>
      <c r="F922" s="17"/>
      <c r="G922" s="18"/>
      <c r="H922" s="17"/>
      <c r="I922" s="23"/>
      <c r="J922" s="17"/>
    </row>
    <row r="923" spans="1:10" x14ac:dyDescent="0.2">
      <c r="A923" s="16"/>
      <c r="B923" s="34"/>
      <c r="C923" s="16"/>
      <c r="D923" s="17"/>
      <c r="E923" s="17"/>
      <c r="F923" s="17"/>
      <c r="G923" s="18"/>
      <c r="H923" s="17"/>
      <c r="I923" s="23"/>
      <c r="J923" s="17"/>
    </row>
    <row r="924" spans="1:10" x14ac:dyDescent="0.2">
      <c r="A924" s="16"/>
      <c r="B924" s="34"/>
      <c r="C924" s="16"/>
      <c r="D924" s="17"/>
      <c r="E924" s="17"/>
      <c r="F924" s="17"/>
      <c r="G924" s="18"/>
      <c r="H924" s="17"/>
      <c r="I924" s="45"/>
      <c r="J924" s="45"/>
    </row>
    <row r="925" spans="1:10" x14ac:dyDescent="0.2">
      <c r="A925" s="16"/>
      <c r="B925" s="34"/>
      <c r="C925" s="16"/>
      <c r="D925" s="17"/>
      <c r="E925" s="17"/>
      <c r="F925" s="17"/>
      <c r="G925" s="18"/>
      <c r="H925" s="17"/>
      <c r="I925" s="23"/>
      <c r="J925" s="23"/>
    </row>
    <row r="926" spans="1:10" x14ac:dyDescent="0.2">
      <c r="A926" s="16"/>
      <c r="B926" s="34"/>
      <c r="C926" s="16"/>
      <c r="D926" s="17"/>
      <c r="E926" s="17"/>
      <c r="F926" s="17"/>
      <c r="G926" s="18"/>
      <c r="H926" s="17"/>
      <c r="I926" s="23"/>
      <c r="J926" s="17"/>
    </row>
    <row r="927" spans="1:10" x14ac:dyDescent="0.2">
      <c r="A927" s="16"/>
      <c r="B927" s="34"/>
      <c r="C927" s="16"/>
      <c r="D927" s="17"/>
      <c r="E927" s="17"/>
      <c r="F927" s="17"/>
      <c r="G927" s="18"/>
      <c r="H927" s="17"/>
      <c r="I927" s="23"/>
      <c r="J927" s="17"/>
    </row>
    <row r="928" spans="1:10" x14ac:dyDescent="0.2">
      <c r="A928" s="16"/>
      <c r="B928" s="34"/>
      <c r="C928" s="16"/>
      <c r="D928" s="17"/>
      <c r="E928" s="17"/>
      <c r="F928" s="17"/>
      <c r="G928" s="18"/>
      <c r="H928" s="17"/>
      <c r="I928" s="23"/>
      <c r="J928" s="17"/>
    </row>
    <row r="929" spans="1:11" x14ac:dyDescent="0.2">
      <c r="A929" s="16"/>
      <c r="B929" s="34"/>
      <c r="C929" s="16"/>
      <c r="D929" s="17"/>
      <c r="E929" s="17"/>
      <c r="F929" s="17"/>
      <c r="G929" s="18"/>
      <c r="H929" s="17"/>
      <c r="I929" s="36"/>
      <c r="J929" s="17"/>
    </row>
    <row r="930" spans="1:11" x14ac:dyDescent="0.2">
      <c r="A930" s="16"/>
      <c r="B930" s="34"/>
      <c r="C930" s="16"/>
      <c r="D930" s="17"/>
      <c r="E930" s="17"/>
      <c r="F930" s="17"/>
      <c r="G930" s="18"/>
      <c r="H930" s="17"/>
      <c r="I930" s="23"/>
      <c r="J930" s="17"/>
    </row>
    <row r="931" spans="1:11" x14ac:dyDescent="0.2">
      <c r="A931" s="16"/>
      <c r="B931" s="34"/>
      <c r="C931" s="16"/>
      <c r="D931" s="17"/>
      <c r="E931" s="17"/>
      <c r="F931" s="17"/>
      <c r="G931" s="18"/>
      <c r="H931" s="17"/>
      <c r="I931" s="23"/>
      <c r="J931" s="17"/>
    </row>
    <row r="932" spans="1:11" x14ac:dyDescent="0.2">
      <c r="A932" s="16"/>
      <c r="B932" s="34"/>
      <c r="C932" s="16"/>
      <c r="D932" s="17"/>
      <c r="E932" s="17"/>
      <c r="F932" s="17"/>
      <c r="G932" s="18"/>
      <c r="H932" s="17"/>
      <c r="I932" s="23"/>
      <c r="J932" s="17"/>
    </row>
    <row r="933" spans="1:11" x14ac:dyDescent="0.2">
      <c r="A933" s="47"/>
      <c r="B933" s="48"/>
      <c r="C933" s="47"/>
      <c r="D933" s="49"/>
      <c r="E933" s="49"/>
      <c r="F933" s="49"/>
      <c r="G933" s="50"/>
      <c r="H933" s="49"/>
      <c r="I933" s="51"/>
      <c r="J933" s="49"/>
    </row>
    <row r="934" spans="1:11" x14ac:dyDescent="0.2">
      <c r="A934" s="47"/>
      <c r="B934" s="48"/>
      <c r="C934" s="47"/>
      <c r="D934" s="49"/>
      <c r="E934" s="49"/>
      <c r="F934" s="49"/>
      <c r="G934" s="50"/>
      <c r="H934" s="49"/>
      <c r="I934" s="51"/>
      <c r="J934" s="49"/>
    </row>
    <row r="935" spans="1:11" x14ac:dyDescent="0.2">
      <c r="A935" s="47"/>
      <c r="B935" s="48"/>
      <c r="C935" s="47"/>
      <c r="D935" s="49"/>
      <c r="E935" s="49"/>
      <c r="F935" s="49"/>
      <c r="G935" s="50"/>
      <c r="H935" s="49"/>
      <c r="I935" s="51"/>
      <c r="J935" s="49"/>
    </row>
    <row r="936" spans="1:11" x14ac:dyDescent="0.2">
      <c r="A936" s="47"/>
      <c r="B936" s="48"/>
      <c r="C936" s="47"/>
      <c r="D936" s="49"/>
      <c r="E936" s="49"/>
      <c r="F936" s="49"/>
      <c r="G936" s="50"/>
      <c r="H936" s="49"/>
      <c r="I936" s="51"/>
      <c r="J936" s="49"/>
    </row>
    <row r="937" spans="1:11" x14ac:dyDescent="0.2">
      <c r="A937" s="47"/>
      <c r="B937" s="48"/>
      <c r="C937" s="47"/>
      <c r="D937" s="49"/>
      <c r="E937" s="49"/>
      <c r="F937" s="49"/>
      <c r="G937" s="50"/>
      <c r="H937" s="49"/>
      <c r="I937" s="51"/>
      <c r="J937" s="49"/>
    </row>
    <row r="938" spans="1:11" x14ac:dyDescent="0.2">
      <c r="A938" s="47"/>
      <c r="B938" s="48"/>
      <c r="C938" s="47"/>
      <c r="D938" s="49"/>
      <c r="E938" s="49"/>
      <c r="F938" s="49"/>
      <c r="G938" s="50"/>
      <c r="H938" s="49"/>
      <c r="I938" s="51"/>
      <c r="J938" s="49"/>
    </row>
    <row r="939" spans="1:11" x14ac:dyDescent="0.2">
      <c r="A939" s="47"/>
      <c r="B939" s="48"/>
      <c r="C939" s="47"/>
      <c r="D939" s="49"/>
      <c r="E939" s="49"/>
      <c r="F939" s="49"/>
      <c r="G939" s="50"/>
      <c r="H939" s="49"/>
      <c r="I939" s="51"/>
      <c r="J939" s="49"/>
    </row>
    <row r="940" spans="1:11" x14ac:dyDescent="0.2">
      <c r="A940" s="47"/>
      <c r="B940" s="48"/>
      <c r="C940" s="47"/>
      <c r="D940" s="49"/>
      <c r="E940" s="49"/>
      <c r="F940" s="49"/>
      <c r="G940" s="50"/>
      <c r="H940" s="49"/>
      <c r="I940" s="51"/>
      <c r="J940" s="49"/>
    </row>
    <row r="941" spans="1:11" x14ac:dyDescent="0.2">
      <c r="A941" s="47"/>
      <c r="B941" s="48"/>
      <c r="C941" s="47"/>
      <c r="D941" s="49"/>
      <c r="E941" s="49"/>
      <c r="F941" s="49"/>
      <c r="G941" s="50"/>
      <c r="H941" s="49"/>
      <c r="I941" s="51"/>
      <c r="J941" s="49"/>
    </row>
    <row r="942" spans="1:11" x14ac:dyDescent="0.2">
      <c r="A942" s="47"/>
      <c r="B942" s="48"/>
      <c r="C942" s="47"/>
      <c r="D942" s="49"/>
      <c r="E942" s="49"/>
      <c r="F942" s="49"/>
      <c r="G942" s="50"/>
      <c r="H942" s="49"/>
      <c r="I942" s="51"/>
      <c r="J942" s="49"/>
    </row>
    <row r="943" spans="1:11" x14ac:dyDescent="0.2">
      <c r="A943" s="47"/>
      <c r="B943" s="48"/>
      <c r="C943" s="47"/>
      <c r="D943" s="49"/>
      <c r="E943" s="49"/>
      <c r="F943" s="49"/>
      <c r="G943" s="50"/>
      <c r="H943" s="49"/>
      <c r="I943" s="51"/>
      <c r="J943" s="49"/>
    </row>
    <row r="944" spans="1:11" x14ac:dyDescent="0.2">
      <c r="A944" s="47"/>
      <c r="B944" s="48"/>
      <c r="C944" s="47"/>
      <c r="D944" s="49"/>
      <c r="E944" s="49"/>
      <c r="F944" s="49"/>
      <c r="G944" s="50"/>
      <c r="H944" s="49"/>
      <c r="I944" s="51"/>
      <c r="J944" s="49"/>
      <c r="K944" s="52"/>
    </row>
    <row r="945" spans="1:11" x14ac:dyDescent="0.2">
      <c r="A945" s="47"/>
      <c r="B945" s="48"/>
      <c r="C945" s="47"/>
      <c r="D945" s="49"/>
      <c r="E945" s="49"/>
      <c r="F945" s="49"/>
      <c r="G945" s="50"/>
      <c r="H945" s="49"/>
      <c r="I945" s="51"/>
      <c r="J945" s="49"/>
      <c r="K945" s="52"/>
    </row>
    <row r="946" spans="1:11" x14ac:dyDescent="0.2">
      <c r="A946" s="47"/>
      <c r="B946" s="48"/>
      <c r="C946" s="47"/>
      <c r="D946" s="49"/>
      <c r="E946" s="49"/>
      <c r="F946" s="49"/>
      <c r="G946" s="50"/>
      <c r="H946" s="49"/>
      <c r="I946" s="51"/>
      <c r="J946" s="49"/>
      <c r="K946" s="52"/>
    </row>
    <row r="947" spans="1:11" x14ac:dyDescent="0.2">
      <c r="A947" s="47"/>
      <c r="B947" s="48"/>
      <c r="C947" s="47"/>
      <c r="D947" s="49"/>
      <c r="E947" s="51"/>
      <c r="F947" s="49"/>
      <c r="G947" s="50"/>
      <c r="H947" s="49"/>
      <c r="I947" s="51"/>
      <c r="J947" s="49"/>
      <c r="K947" s="52"/>
    </row>
    <row r="948" spans="1:11" x14ac:dyDescent="0.2">
      <c r="A948" s="47"/>
      <c r="B948" s="48"/>
      <c r="C948" s="47"/>
      <c r="D948" s="49"/>
      <c r="E948" s="49"/>
      <c r="F948" s="49"/>
      <c r="G948" s="50"/>
      <c r="H948" s="49"/>
      <c r="I948" s="51"/>
      <c r="J948" s="49"/>
      <c r="K948" s="52"/>
    </row>
    <row r="949" spans="1:11" s="53" customFormat="1" x14ac:dyDescent="0.2">
      <c r="A949" s="47"/>
      <c r="B949" s="48"/>
      <c r="C949" s="47"/>
      <c r="D949" s="49"/>
      <c r="E949" s="49"/>
      <c r="F949" s="49"/>
      <c r="G949" s="50"/>
      <c r="H949" s="49"/>
      <c r="I949" s="51"/>
      <c r="J949" s="49"/>
      <c r="K949" s="52"/>
    </row>
    <row r="950" spans="1:11" s="53" customFormat="1" x14ac:dyDescent="0.2">
      <c r="A950" s="47"/>
      <c r="B950" s="48"/>
      <c r="C950" s="47"/>
      <c r="D950" s="49"/>
      <c r="E950" s="49"/>
      <c r="F950" s="49"/>
      <c r="G950" s="50"/>
      <c r="H950" s="49"/>
      <c r="I950" s="51"/>
      <c r="J950" s="49"/>
      <c r="K950" s="52"/>
    </row>
    <row r="951" spans="1:11" s="53" customFormat="1" x14ac:dyDescent="0.2">
      <c r="A951" s="47"/>
      <c r="B951" s="48"/>
      <c r="C951" s="47"/>
      <c r="D951" s="49"/>
      <c r="E951" s="49"/>
      <c r="F951" s="49"/>
      <c r="G951" s="50"/>
      <c r="H951" s="49"/>
      <c r="I951" s="51"/>
      <c r="J951" s="49"/>
      <c r="K951" s="52"/>
    </row>
    <row r="952" spans="1:11" s="53" customFormat="1" x14ac:dyDescent="0.2">
      <c r="A952" s="47"/>
      <c r="B952" s="48"/>
      <c r="C952" s="47"/>
      <c r="D952" s="49"/>
      <c r="E952" s="49"/>
      <c r="F952" s="49"/>
      <c r="G952" s="50"/>
      <c r="H952" s="49"/>
      <c r="I952" s="51"/>
      <c r="J952" s="49"/>
      <c r="K952" s="52"/>
    </row>
    <row r="953" spans="1:11" s="53" customFormat="1" x14ac:dyDescent="0.2">
      <c r="A953" s="47"/>
      <c r="B953" s="48"/>
      <c r="C953" s="47"/>
      <c r="D953" s="49"/>
      <c r="E953" s="49"/>
      <c r="F953" s="49"/>
      <c r="G953" s="50"/>
      <c r="H953" s="49"/>
      <c r="I953" s="51"/>
      <c r="J953" s="51"/>
      <c r="K953" s="52"/>
    </row>
    <row r="954" spans="1:11" s="53" customFormat="1" x14ac:dyDescent="0.2">
      <c r="A954" s="47"/>
      <c r="B954" s="48"/>
      <c r="C954" s="47"/>
      <c r="D954" s="49"/>
      <c r="E954" s="49"/>
      <c r="F954" s="49"/>
      <c r="G954" s="50"/>
      <c r="H954" s="49"/>
      <c r="I954" s="51"/>
      <c r="J954" s="49"/>
      <c r="K954" s="52"/>
    </row>
    <row r="955" spans="1:11" s="53" customFormat="1" x14ac:dyDescent="0.2">
      <c r="A955" s="47"/>
      <c r="B955" s="48"/>
      <c r="C955" s="47"/>
      <c r="D955" s="49"/>
      <c r="E955" s="49"/>
      <c r="F955" s="49"/>
      <c r="G955" s="50"/>
      <c r="H955" s="49"/>
      <c r="I955" s="51"/>
      <c r="J955" s="49"/>
      <c r="K955" s="52"/>
    </row>
    <row r="956" spans="1:11" x14ac:dyDescent="0.2">
      <c r="A956" s="47"/>
      <c r="B956" s="48"/>
      <c r="C956" s="47"/>
      <c r="D956" s="49"/>
      <c r="E956" s="49"/>
      <c r="F956" s="49"/>
      <c r="G956" s="50"/>
      <c r="H956" s="49"/>
      <c r="I956" s="51"/>
      <c r="J956" s="49"/>
      <c r="K956" s="52"/>
    </row>
    <row r="957" spans="1:11" x14ac:dyDescent="0.2">
      <c r="A957" s="47"/>
      <c r="B957" s="48"/>
      <c r="C957" s="47"/>
      <c r="D957" s="49"/>
      <c r="E957" s="49"/>
      <c r="F957" s="49"/>
      <c r="G957" s="50"/>
      <c r="H957" s="49"/>
      <c r="I957" s="51"/>
      <c r="J957" s="49"/>
    </row>
    <row r="958" spans="1:11" x14ac:dyDescent="0.2">
      <c r="A958" s="16"/>
      <c r="B958" s="34"/>
      <c r="C958" s="16"/>
      <c r="D958" s="17"/>
      <c r="E958" s="17"/>
      <c r="F958" s="17"/>
      <c r="G958" s="18"/>
      <c r="H958" s="17"/>
      <c r="I958" s="23"/>
      <c r="J958" s="17"/>
    </row>
    <row r="959" spans="1:11" x14ac:dyDescent="0.2">
      <c r="A959" s="16"/>
      <c r="B959" s="34"/>
      <c r="C959" s="16"/>
      <c r="D959" s="17"/>
      <c r="E959" s="17"/>
      <c r="F959" s="17"/>
      <c r="G959" s="18"/>
      <c r="H959" s="17"/>
      <c r="I959" s="23"/>
      <c r="J959" s="23"/>
    </row>
    <row r="960" spans="1:11" x14ac:dyDescent="0.2">
      <c r="A960" s="16"/>
      <c r="B960" s="34"/>
      <c r="C960" s="16"/>
      <c r="D960" s="17"/>
      <c r="E960" s="17"/>
      <c r="F960" s="17"/>
      <c r="G960" s="18"/>
      <c r="H960" s="17"/>
      <c r="I960" s="23"/>
      <c r="J960" s="17"/>
    </row>
    <row r="961" spans="1:11" x14ac:dyDescent="0.2">
      <c r="A961" s="16"/>
      <c r="B961" s="34"/>
      <c r="C961" s="16"/>
      <c r="D961" s="17"/>
      <c r="E961" s="17"/>
      <c r="F961" s="17"/>
      <c r="G961" s="18"/>
      <c r="H961" s="17"/>
      <c r="I961" s="23"/>
      <c r="J961" s="17"/>
    </row>
    <row r="962" spans="1:11" x14ac:dyDescent="0.2">
      <c r="A962" s="16"/>
      <c r="B962" s="34"/>
      <c r="C962" s="16"/>
      <c r="D962" s="17"/>
      <c r="E962" s="17"/>
      <c r="F962" s="17"/>
      <c r="G962" s="18"/>
      <c r="H962" s="17"/>
      <c r="I962" s="23"/>
      <c r="J962" s="17"/>
    </row>
    <row r="963" spans="1:11" x14ac:dyDescent="0.2">
      <c r="A963" s="16"/>
      <c r="B963" s="34"/>
      <c r="C963" s="16"/>
      <c r="D963" s="17"/>
      <c r="E963" s="17"/>
      <c r="F963" s="17"/>
      <c r="G963" s="18"/>
      <c r="H963" s="17"/>
      <c r="I963" s="23"/>
      <c r="J963" s="17"/>
    </row>
    <row r="964" spans="1:11" x14ac:dyDescent="0.2">
      <c r="A964" s="16"/>
      <c r="B964" s="34"/>
      <c r="C964" s="16"/>
      <c r="D964" s="17"/>
      <c r="E964" s="17"/>
      <c r="F964" s="17"/>
      <c r="G964" s="18"/>
      <c r="H964" s="17"/>
      <c r="I964" s="23"/>
      <c r="J964" s="17"/>
    </row>
    <row r="965" spans="1:11" x14ac:dyDescent="0.2">
      <c r="A965" s="16"/>
      <c r="B965" s="34"/>
      <c r="C965" s="16"/>
      <c r="D965" s="17"/>
      <c r="E965" s="17"/>
      <c r="F965" s="17"/>
      <c r="G965" s="18"/>
      <c r="H965" s="17"/>
      <c r="I965" s="23"/>
      <c r="J965" s="17"/>
    </row>
    <row r="966" spans="1:11" x14ac:dyDescent="0.2">
      <c r="A966" s="16"/>
      <c r="B966" s="34"/>
      <c r="C966" s="16"/>
      <c r="D966" s="17"/>
      <c r="E966" s="17"/>
      <c r="F966" s="17"/>
      <c r="G966" s="18"/>
      <c r="H966" s="17"/>
      <c r="I966" s="23"/>
      <c r="J966" s="17"/>
    </row>
    <row r="967" spans="1:11" s="53" customFormat="1" x14ac:dyDescent="0.2">
      <c r="A967" s="16"/>
      <c r="B967" s="34"/>
      <c r="C967" s="16"/>
      <c r="D967" s="17"/>
      <c r="E967" s="17"/>
      <c r="F967" s="17"/>
      <c r="G967" s="18"/>
      <c r="H967" s="17"/>
      <c r="I967" s="23"/>
      <c r="J967" s="17"/>
      <c r="K967" s="52"/>
    </row>
    <row r="968" spans="1:11" s="53" customFormat="1" x14ac:dyDescent="0.2">
      <c r="A968" s="47"/>
      <c r="B968" s="48"/>
      <c r="C968" s="47"/>
      <c r="D968" s="49"/>
      <c r="E968" s="49"/>
      <c r="F968" s="51"/>
      <c r="G968" s="50"/>
      <c r="H968" s="49"/>
      <c r="I968" s="51"/>
      <c r="J968" s="49"/>
      <c r="K968" s="52"/>
    </row>
    <row r="969" spans="1:11" s="53" customFormat="1" x14ac:dyDescent="0.2">
      <c r="A969" s="47"/>
      <c r="B969" s="48"/>
      <c r="C969" s="47"/>
      <c r="D969" s="49"/>
      <c r="E969" s="49"/>
      <c r="F969" s="49"/>
      <c r="G969" s="50"/>
      <c r="H969" s="49"/>
      <c r="I969" s="51"/>
      <c r="J969" s="49"/>
      <c r="K969" s="52"/>
    </row>
    <row r="970" spans="1:11" s="53" customFormat="1" x14ac:dyDescent="0.2">
      <c r="A970" s="47"/>
      <c r="B970" s="48"/>
      <c r="C970" s="47"/>
      <c r="D970" s="49"/>
      <c r="E970" s="49"/>
      <c r="F970" s="49"/>
      <c r="G970" s="50"/>
      <c r="H970" s="49"/>
      <c r="I970" s="51"/>
      <c r="J970" s="49"/>
      <c r="K970" s="52"/>
    </row>
    <row r="971" spans="1:11" s="53" customFormat="1" x14ac:dyDescent="0.2">
      <c r="A971" s="47"/>
      <c r="B971" s="48"/>
      <c r="C971" s="47"/>
      <c r="D971" s="49"/>
      <c r="E971" s="49"/>
      <c r="F971" s="49"/>
      <c r="G971" s="50"/>
      <c r="H971" s="49"/>
      <c r="I971" s="51"/>
      <c r="J971" s="49"/>
      <c r="K971" s="52"/>
    </row>
    <row r="972" spans="1:11" s="53" customFormat="1" x14ac:dyDescent="0.2">
      <c r="A972" s="47"/>
      <c r="B972" s="48"/>
      <c r="C972" s="47"/>
      <c r="D972" s="49"/>
      <c r="E972" s="61"/>
      <c r="F972" s="49"/>
      <c r="G972" s="50"/>
      <c r="H972" s="49"/>
      <c r="I972" s="51"/>
      <c r="J972" s="49"/>
      <c r="K972" s="52"/>
    </row>
    <row r="973" spans="1:11" s="53" customFormat="1" x14ac:dyDescent="0.2">
      <c r="A973" s="47"/>
      <c r="B973" s="48"/>
      <c r="C973" s="47"/>
      <c r="D973" s="49"/>
      <c r="E973" s="60"/>
      <c r="F973" s="49"/>
      <c r="G973" s="50"/>
      <c r="H973" s="49"/>
      <c r="I973" s="51"/>
      <c r="J973" s="55"/>
      <c r="K973" s="52"/>
    </row>
    <row r="974" spans="1:11" x14ac:dyDescent="0.2">
      <c r="A974" s="47"/>
      <c r="B974" s="48"/>
      <c r="C974" s="47"/>
      <c r="D974" s="49"/>
      <c r="E974" s="49"/>
      <c r="F974" s="49"/>
      <c r="G974" s="50"/>
      <c r="H974" s="49"/>
      <c r="I974" s="51"/>
      <c r="J974" s="49"/>
    </row>
    <row r="975" spans="1:11" x14ac:dyDescent="0.2">
      <c r="A975" s="47"/>
      <c r="B975" s="48"/>
      <c r="C975" s="47"/>
      <c r="D975" s="49"/>
      <c r="E975" s="49"/>
      <c r="F975" s="49"/>
      <c r="G975" s="50"/>
      <c r="H975" s="49"/>
      <c r="I975" s="51"/>
      <c r="J975" s="51"/>
    </row>
    <row r="976" spans="1:11" x14ac:dyDescent="0.2">
      <c r="A976" s="47"/>
      <c r="B976" s="48"/>
      <c r="C976" s="47"/>
      <c r="D976" s="49"/>
      <c r="E976" s="49"/>
      <c r="F976" s="49"/>
      <c r="G976" s="50"/>
      <c r="H976" s="49"/>
      <c r="I976" s="51"/>
      <c r="J976" s="49"/>
    </row>
    <row r="977" spans="1:10" x14ac:dyDescent="0.2">
      <c r="A977" s="47"/>
      <c r="B977" s="48"/>
      <c r="C977" s="47"/>
      <c r="D977" s="49"/>
      <c r="E977" s="49"/>
      <c r="F977" s="49"/>
      <c r="G977" s="50"/>
      <c r="H977" s="49"/>
      <c r="I977" s="51"/>
      <c r="J977" s="49"/>
    </row>
    <row r="978" spans="1:10" x14ac:dyDescent="0.2">
      <c r="A978" s="47"/>
      <c r="B978" s="48"/>
      <c r="C978" s="47"/>
      <c r="D978" s="49"/>
      <c r="E978" s="49"/>
      <c r="F978" s="49"/>
      <c r="G978" s="50"/>
      <c r="H978" s="49"/>
      <c r="I978" s="51"/>
      <c r="J978" s="49"/>
    </row>
    <row r="979" spans="1:10" x14ac:dyDescent="0.2">
      <c r="A979" s="47"/>
      <c r="B979" s="34"/>
      <c r="C979" s="16"/>
      <c r="D979" s="17"/>
      <c r="E979" s="17"/>
      <c r="F979" s="17"/>
      <c r="G979" s="50"/>
      <c r="H979" s="49"/>
      <c r="I979" s="51"/>
      <c r="J979" s="49"/>
    </row>
    <row r="980" spans="1:10" x14ac:dyDescent="0.2">
      <c r="A980" s="47"/>
      <c r="B980" s="48"/>
      <c r="C980" s="47"/>
      <c r="D980" s="49"/>
      <c r="E980" s="49"/>
      <c r="F980" s="49"/>
      <c r="G980" s="50"/>
      <c r="H980" s="49"/>
      <c r="I980" s="51"/>
      <c r="J980" s="49"/>
    </row>
    <row r="981" spans="1:10" x14ac:dyDescent="0.2">
      <c r="A981" s="47"/>
      <c r="B981" s="48"/>
      <c r="C981" s="47"/>
      <c r="D981" s="49"/>
      <c r="E981" s="49"/>
      <c r="F981" s="49"/>
      <c r="G981" s="50"/>
      <c r="H981" s="49"/>
      <c r="I981" s="51"/>
      <c r="J981" s="49"/>
    </row>
    <row r="982" spans="1:10" x14ac:dyDescent="0.2">
      <c r="A982" s="16"/>
      <c r="B982" s="34"/>
      <c r="C982" s="16"/>
      <c r="D982" s="17"/>
      <c r="E982" s="17"/>
      <c r="F982" s="17"/>
      <c r="G982" s="50"/>
      <c r="H982" s="49"/>
      <c r="I982" s="51"/>
      <c r="J982" s="49"/>
    </row>
    <row r="983" spans="1:10" x14ac:dyDescent="0.2">
      <c r="A983" s="47"/>
      <c r="B983" s="48"/>
      <c r="C983" s="47"/>
      <c r="D983" s="49"/>
      <c r="E983" s="49"/>
      <c r="F983" s="49"/>
      <c r="G983" s="50"/>
      <c r="H983" s="49"/>
      <c r="I983" s="51"/>
      <c r="J983" s="49"/>
    </row>
    <row r="984" spans="1:10" x14ac:dyDescent="0.2">
      <c r="A984" s="16"/>
      <c r="B984" s="48"/>
      <c r="C984" s="47"/>
      <c r="D984" s="49"/>
      <c r="E984" s="49"/>
      <c r="F984" s="49"/>
      <c r="G984" s="18"/>
      <c r="H984" s="17"/>
      <c r="I984" s="23"/>
      <c r="J984" s="20"/>
    </row>
    <row r="985" spans="1:10" x14ac:dyDescent="0.2">
      <c r="A985" s="16"/>
      <c r="B985" s="34"/>
      <c r="C985" s="16"/>
      <c r="D985" s="17"/>
      <c r="E985" s="17"/>
      <c r="F985" s="17"/>
      <c r="G985" s="18"/>
      <c r="H985" s="17"/>
      <c r="I985" s="23"/>
      <c r="J985" s="23"/>
    </row>
    <row r="986" spans="1:10" x14ac:dyDescent="0.2">
      <c r="A986" s="16"/>
      <c r="B986" s="34"/>
      <c r="C986" s="16"/>
      <c r="D986" s="17"/>
      <c r="E986" s="17"/>
      <c r="F986" s="17"/>
      <c r="G986" s="18"/>
      <c r="H986" s="17"/>
      <c r="I986" s="23"/>
      <c r="J986" s="17"/>
    </row>
    <row r="987" spans="1:10" x14ac:dyDescent="0.2">
      <c r="A987" s="16"/>
      <c r="B987" s="34"/>
      <c r="C987" s="16"/>
      <c r="D987" s="17"/>
      <c r="E987" s="17"/>
      <c r="F987" s="17"/>
      <c r="G987" s="18"/>
      <c r="H987" s="17"/>
      <c r="I987" s="23"/>
      <c r="J987" s="17"/>
    </row>
    <row r="988" spans="1:10" x14ac:dyDescent="0.2">
      <c r="A988" s="16"/>
      <c r="B988" s="34"/>
      <c r="C988" s="16"/>
      <c r="D988" s="17"/>
      <c r="E988" s="17"/>
      <c r="F988" s="17"/>
      <c r="G988" s="18"/>
      <c r="H988" s="17"/>
      <c r="I988" s="23"/>
      <c r="J988" s="17"/>
    </row>
    <row r="989" spans="1:10" x14ac:dyDescent="0.2">
      <c r="A989" s="16"/>
      <c r="B989" s="34"/>
      <c r="C989" s="16"/>
      <c r="D989" s="17"/>
      <c r="E989" s="17"/>
      <c r="F989" s="17"/>
      <c r="G989" s="18"/>
      <c r="H989" s="17"/>
      <c r="I989" s="23"/>
      <c r="J989" s="17"/>
    </row>
    <row r="990" spans="1:10" x14ac:dyDescent="0.2">
      <c r="A990" s="16"/>
      <c r="B990" s="34"/>
      <c r="C990" s="16"/>
      <c r="D990" s="17"/>
      <c r="E990" s="17"/>
      <c r="F990" s="17"/>
      <c r="G990" s="18"/>
      <c r="H990" s="17"/>
      <c r="I990" s="23"/>
      <c r="J990" s="17"/>
    </row>
    <row r="991" spans="1:10" x14ac:dyDescent="0.2">
      <c r="A991" s="16"/>
      <c r="B991" s="34"/>
      <c r="C991" s="16"/>
      <c r="D991" s="17"/>
      <c r="E991" s="17"/>
      <c r="F991" s="17"/>
      <c r="G991" s="18"/>
      <c r="H991" s="17"/>
      <c r="I991" s="23"/>
      <c r="J991" s="17"/>
    </row>
    <row r="992" spans="1:10" x14ac:dyDescent="0.2">
      <c r="A992" s="16"/>
      <c r="B992" s="34"/>
      <c r="C992" s="16"/>
      <c r="D992" s="17"/>
      <c r="E992" s="17"/>
      <c r="F992" s="17"/>
      <c r="G992" s="18"/>
      <c r="H992" s="17"/>
      <c r="I992" s="23"/>
      <c r="J992" s="17"/>
    </row>
    <row r="993" spans="1:10" x14ac:dyDescent="0.2">
      <c r="A993" s="16"/>
      <c r="B993" s="34"/>
      <c r="C993" s="16"/>
      <c r="D993" s="17"/>
      <c r="E993" s="17"/>
      <c r="F993" s="17"/>
      <c r="G993" s="18"/>
      <c r="H993" s="17"/>
      <c r="I993" s="23"/>
      <c r="J993" s="17"/>
    </row>
    <row r="994" spans="1:10" x14ac:dyDescent="0.2">
      <c r="A994" s="16"/>
      <c r="B994" s="34"/>
      <c r="C994" s="16"/>
      <c r="D994" s="17"/>
      <c r="E994" s="17"/>
      <c r="F994" s="17"/>
      <c r="G994" s="18"/>
      <c r="H994" s="17"/>
      <c r="I994" s="23"/>
      <c r="J994" s="17"/>
    </row>
    <row r="995" spans="1:10" x14ac:dyDescent="0.2">
      <c r="A995" s="16"/>
      <c r="B995" s="34"/>
      <c r="C995" s="16"/>
      <c r="D995" s="17"/>
      <c r="E995" s="17"/>
      <c r="F995" s="17"/>
      <c r="G995" s="18"/>
      <c r="H995" s="17"/>
      <c r="I995" s="23"/>
      <c r="J995" s="17"/>
    </row>
    <row r="996" spans="1:10" x14ac:dyDescent="0.2">
      <c r="A996" s="16"/>
      <c r="B996" s="34"/>
      <c r="C996" s="16"/>
      <c r="D996" s="17"/>
      <c r="E996" s="17"/>
      <c r="F996" s="17"/>
      <c r="G996" s="18"/>
      <c r="H996" s="17"/>
      <c r="I996" s="23"/>
      <c r="J996" s="17"/>
    </row>
    <row r="997" spans="1:10" x14ac:dyDescent="0.2">
      <c r="A997" s="16"/>
      <c r="B997" s="34"/>
      <c r="C997" s="16"/>
      <c r="D997" s="17"/>
      <c r="E997" s="17"/>
      <c r="F997" s="17"/>
      <c r="G997" s="18"/>
      <c r="H997" s="17"/>
      <c r="I997" s="23"/>
      <c r="J997" s="17"/>
    </row>
    <row r="998" spans="1:10" x14ac:dyDescent="0.2">
      <c r="A998" s="16"/>
      <c r="B998" s="34"/>
      <c r="C998" s="16"/>
      <c r="D998" s="17"/>
      <c r="E998" s="17"/>
      <c r="F998" s="17"/>
      <c r="G998" s="18"/>
      <c r="H998" s="17"/>
      <c r="I998" s="23"/>
      <c r="J998" s="17"/>
    </row>
    <row r="999" spans="1:10" x14ac:dyDescent="0.2">
      <c r="A999" s="16"/>
      <c r="B999" s="34"/>
      <c r="C999" s="16"/>
      <c r="D999" s="17"/>
      <c r="E999" s="17"/>
      <c r="F999" s="17"/>
      <c r="G999" s="18"/>
      <c r="H999" s="17"/>
      <c r="I999" s="23"/>
      <c r="J999" s="17"/>
    </row>
    <row r="1000" spans="1:10" x14ac:dyDescent="0.2">
      <c r="A1000" s="16"/>
      <c r="B1000" s="34"/>
      <c r="C1000" s="16"/>
      <c r="D1000" s="17"/>
      <c r="E1000" s="17"/>
      <c r="F1000" s="17"/>
      <c r="G1000" s="18"/>
      <c r="H1000" s="17"/>
      <c r="I1000" s="23"/>
      <c r="J1000" s="17"/>
    </row>
    <row r="1001" spans="1:10" x14ac:dyDescent="0.2">
      <c r="A1001" s="16"/>
      <c r="B1001" s="34"/>
      <c r="C1001" s="16"/>
      <c r="D1001" s="17"/>
      <c r="E1001" s="17"/>
      <c r="F1001" s="17"/>
      <c r="G1001" s="18"/>
      <c r="H1001" s="17"/>
      <c r="I1001" s="23"/>
      <c r="J1001" s="23"/>
    </row>
    <row r="1002" spans="1:10" x14ac:dyDescent="0.2">
      <c r="A1002" s="16"/>
      <c r="B1002" s="34"/>
      <c r="C1002" s="16"/>
      <c r="D1002" s="17"/>
      <c r="E1002" s="17"/>
      <c r="F1002" s="17"/>
      <c r="G1002" s="18"/>
      <c r="H1002" s="17"/>
      <c r="I1002" s="23"/>
      <c r="J1002" s="17"/>
    </row>
    <row r="1003" spans="1:10" x14ac:dyDescent="0.2">
      <c r="A1003" s="16"/>
      <c r="B1003" s="34"/>
      <c r="C1003" s="16"/>
      <c r="D1003" s="17"/>
      <c r="E1003" s="17"/>
      <c r="F1003" s="17"/>
      <c r="G1003" s="18"/>
      <c r="H1003" s="17"/>
      <c r="I1003" s="23"/>
      <c r="J1003" s="17"/>
    </row>
    <row r="1004" spans="1:10" x14ac:dyDescent="0.2">
      <c r="A1004" s="16"/>
      <c r="B1004" s="34"/>
      <c r="C1004" s="16"/>
      <c r="D1004" s="17"/>
      <c r="E1004" s="17"/>
      <c r="F1004" s="17"/>
      <c r="G1004" s="18"/>
      <c r="H1004" s="17"/>
      <c r="I1004" s="23"/>
      <c r="J1004" s="17"/>
    </row>
    <row r="1005" spans="1:10" x14ac:dyDescent="0.2">
      <c r="A1005" s="16"/>
      <c r="B1005" s="34"/>
      <c r="C1005" s="16"/>
      <c r="D1005" s="17"/>
      <c r="E1005" s="17"/>
      <c r="F1005" s="17"/>
      <c r="G1005" s="18"/>
      <c r="H1005" s="17"/>
      <c r="I1005" s="23"/>
      <c r="J1005" s="17"/>
    </row>
    <row r="1006" spans="1:10" x14ac:dyDescent="0.2">
      <c r="A1006" s="16"/>
      <c r="B1006" s="34"/>
      <c r="C1006" s="16"/>
      <c r="D1006" s="17"/>
      <c r="E1006" s="17"/>
      <c r="F1006" s="17"/>
      <c r="G1006" s="18"/>
      <c r="H1006" s="17"/>
      <c r="I1006" s="23"/>
      <c r="J1006" s="17"/>
    </row>
    <row r="1007" spans="1:10" x14ac:dyDescent="0.2">
      <c r="A1007" s="16"/>
      <c r="B1007" s="34"/>
      <c r="C1007" s="16"/>
      <c r="D1007" s="17"/>
      <c r="E1007" s="17"/>
      <c r="F1007" s="17"/>
      <c r="G1007" s="18"/>
      <c r="H1007" s="17"/>
      <c r="I1007" s="23"/>
      <c r="J1007" s="17"/>
    </row>
    <row r="1008" spans="1:10" x14ac:dyDescent="0.2">
      <c r="A1008" s="16"/>
      <c r="B1008" s="34"/>
      <c r="C1008" s="16"/>
      <c r="D1008" s="17"/>
      <c r="E1008" s="17"/>
      <c r="F1008" s="17"/>
      <c r="G1008" s="18"/>
      <c r="H1008" s="17"/>
      <c r="I1008" s="23"/>
      <c r="J1008" s="17"/>
    </row>
    <row r="1009" spans="1:10" x14ac:dyDescent="0.2">
      <c r="A1009" s="16"/>
      <c r="B1009" s="34"/>
      <c r="C1009" s="16"/>
      <c r="D1009" s="17"/>
      <c r="E1009" s="17"/>
      <c r="F1009" s="17"/>
      <c r="G1009" s="18"/>
      <c r="H1009" s="17"/>
      <c r="I1009" s="23"/>
      <c r="J1009" s="17"/>
    </row>
    <row r="1010" spans="1:10" x14ac:dyDescent="0.2">
      <c r="A1010" s="16"/>
      <c r="B1010" s="34"/>
      <c r="C1010" s="16"/>
      <c r="D1010" s="17"/>
      <c r="E1010" s="17"/>
      <c r="F1010" s="17"/>
      <c r="G1010" s="18"/>
      <c r="H1010" s="17"/>
      <c r="I1010" s="23"/>
      <c r="J1010" s="17"/>
    </row>
    <row r="1011" spans="1:10" x14ac:dyDescent="0.2">
      <c r="A1011" s="16"/>
      <c r="B1011" s="34"/>
      <c r="C1011" s="16"/>
      <c r="D1011" s="17"/>
      <c r="E1011" s="17"/>
      <c r="F1011" s="17"/>
      <c r="G1011" s="18"/>
      <c r="H1011" s="17"/>
      <c r="I1011" s="23"/>
      <c r="J1011" s="17"/>
    </row>
    <row r="1012" spans="1:10" x14ac:dyDescent="0.2">
      <c r="A1012" s="16"/>
      <c r="B1012" s="34"/>
      <c r="C1012" s="16"/>
      <c r="D1012" s="17"/>
      <c r="E1012" s="17"/>
      <c r="F1012" s="17"/>
      <c r="G1012" s="18"/>
      <c r="H1012" s="17"/>
      <c r="I1012" s="23"/>
      <c r="J1012" s="17"/>
    </row>
    <row r="1013" spans="1:10" x14ac:dyDescent="0.2">
      <c r="A1013" s="16"/>
      <c r="B1013" s="34"/>
      <c r="C1013" s="16"/>
      <c r="D1013" s="17"/>
      <c r="E1013" s="17"/>
      <c r="F1013" s="17"/>
      <c r="G1013" s="18"/>
      <c r="H1013" s="17"/>
      <c r="I1013" s="23"/>
      <c r="J1013" s="17"/>
    </row>
    <row r="1014" spans="1:10" x14ac:dyDescent="0.2">
      <c r="A1014" s="16"/>
      <c r="B1014" s="34"/>
      <c r="C1014" s="16"/>
      <c r="D1014" s="17"/>
      <c r="E1014" s="17"/>
      <c r="F1014" s="17"/>
      <c r="G1014" s="18"/>
      <c r="H1014" s="17"/>
      <c r="I1014" s="23"/>
      <c r="J1014" s="17"/>
    </row>
    <row r="1015" spans="1:10" x14ac:dyDescent="0.2">
      <c r="A1015" s="16"/>
      <c r="B1015" s="34"/>
      <c r="C1015" s="16"/>
      <c r="D1015" s="17"/>
      <c r="E1015" s="17"/>
      <c r="F1015" s="17"/>
      <c r="G1015" s="18"/>
      <c r="H1015" s="17"/>
      <c r="I1015" s="23"/>
      <c r="J1015" s="17"/>
    </row>
    <row r="1016" spans="1:10" x14ac:dyDescent="0.2">
      <c r="A1016" s="16"/>
      <c r="B1016" s="34"/>
      <c r="C1016" s="16"/>
      <c r="D1016" s="17"/>
      <c r="E1016" s="17"/>
      <c r="F1016" s="17"/>
      <c r="G1016" s="18"/>
      <c r="H1016" s="17"/>
      <c r="I1016" s="23"/>
      <c r="J1016" s="17"/>
    </row>
    <row r="1017" spans="1:10" x14ac:dyDescent="0.2">
      <c r="A1017" s="16"/>
      <c r="B1017" s="34"/>
      <c r="C1017" s="16"/>
      <c r="D1017" s="17"/>
      <c r="E1017" s="17"/>
      <c r="F1017" s="17"/>
      <c r="G1017" s="18"/>
      <c r="H1017" s="17"/>
      <c r="I1017" s="23"/>
      <c r="J1017" s="17"/>
    </row>
    <row r="1018" spans="1:10" x14ac:dyDescent="0.2">
      <c r="A1018" s="16"/>
      <c r="B1018" s="34"/>
      <c r="C1018" s="16"/>
      <c r="D1018" s="17"/>
      <c r="E1018" s="17"/>
      <c r="F1018" s="17"/>
      <c r="G1018" s="18"/>
      <c r="H1018" s="17"/>
      <c r="I1018" s="23"/>
      <c r="J1018" s="17"/>
    </row>
    <row r="1019" spans="1:10" x14ac:dyDescent="0.2">
      <c r="A1019" s="16"/>
      <c r="B1019" s="34"/>
      <c r="C1019" s="16"/>
      <c r="D1019" s="17"/>
      <c r="E1019" s="17"/>
      <c r="F1019" s="17"/>
      <c r="G1019" s="18"/>
      <c r="H1019" s="17"/>
      <c r="I1019" s="23"/>
      <c r="J1019" s="17"/>
    </row>
    <row r="1020" spans="1:10" x14ac:dyDescent="0.2">
      <c r="A1020" s="16"/>
      <c r="B1020" s="34"/>
      <c r="C1020" s="16"/>
      <c r="D1020" s="17"/>
      <c r="E1020" s="17"/>
      <c r="F1020" s="17"/>
      <c r="G1020" s="18"/>
      <c r="H1020" s="17"/>
      <c r="I1020" s="23"/>
      <c r="J1020" s="17"/>
    </row>
    <row r="1021" spans="1:10" x14ac:dyDescent="0.2">
      <c r="A1021" s="16"/>
      <c r="B1021" s="34"/>
      <c r="C1021" s="16"/>
      <c r="D1021" s="17"/>
      <c r="E1021" s="17"/>
      <c r="F1021" s="17"/>
      <c r="G1021" s="18"/>
      <c r="H1021" s="17"/>
      <c r="I1021" s="23"/>
      <c r="J1021" s="17"/>
    </row>
    <row r="1022" spans="1:10" x14ac:dyDescent="0.2">
      <c r="A1022" s="16"/>
      <c r="B1022" s="34"/>
      <c r="C1022" s="16"/>
      <c r="D1022" s="17"/>
      <c r="E1022" s="17"/>
      <c r="F1022" s="17"/>
      <c r="G1022" s="18"/>
      <c r="H1022" s="17"/>
      <c r="I1022" s="23"/>
      <c r="J1022" s="17"/>
    </row>
    <row r="1023" spans="1:10" x14ac:dyDescent="0.2">
      <c r="A1023" s="16"/>
      <c r="B1023" s="34"/>
      <c r="C1023" s="16"/>
      <c r="D1023" s="17"/>
      <c r="E1023" s="17"/>
      <c r="F1023" s="17"/>
      <c r="G1023" s="18"/>
      <c r="H1023" s="17"/>
      <c r="I1023" s="23"/>
      <c r="J1023" s="17"/>
    </row>
    <row r="1024" spans="1:10" x14ac:dyDescent="0.2">
      <c r="A1024" s="16"/>
      <c r="B1024" s="34"/>
      <c r="C1024" s="16"/>
      <c r="D1024" s="17"/>
      <c r="E1024" s="17"/>
      <c r="F1024" s="17"/>
      <c r="G1024" s="18"/>
      <c r="H1024" s="17"/>
      <c r="I1024" s="23"/>
      <c r="J1024" s="17"/>
    </row>
    <row r="1025" spans="1:10" x14ac:dyDescent="0.2">
      <c r="A1025" s="16"/>
      <c r="B1025" s="34"/>
      <c r="C1025" s="16"/>
      <c r="D1025" s="17"/>
      <c r="E1025" s="17"/>
      <c r="F1025" s="17"/>
      <c r="G1025" s="18"/>
      <c r="H1025" s="17"/>
      <c r="I1025" s="23"/>
      <c r="J1025" s="17"/>
    </row>
    <row r="1026" spans="1:10" x14ac:dyDescent="0.2">
      <c r="A1026" s="16"/>
      <c r="B1026" s="34"/>
      <c r="C1026" s="16"/>
      <c r="D1026" s="17"/>
      <c r="E1026" s="17"/>
      <c r="F1026" s="17"/>
      <c r="G1026" s="18"/>
      <c r="H1026" s="17"/>
      <c r="I1026" s="45"/>
      <c r="J1026" s="29"/>
    </row>
    <row r="1027" spans="1:10" x14ac:dyDescent="0.2">
      <c r="A1027" s="16"/>
      <c r="B1027" s="34"/>
      <c r="C1027" s="16"/>
      <c r="D1027" s="17"/>
      <c r="E1027" s="17"/>
      <c r="F1027" s="17"/>
      <c r="G1027" s="18"/>
      <c r="H1027" s="17"/>
      <c r="I1027" s="45"/>
      <c r="J1027" s="45"/>
    </row>
    <row r="1028" spans="1:10" x14ac:dyDescent="0.2">
      <c r="A1028" s="16"/>
      <c r="B1028" s="34"/>
      <c r="C1028" s="16"/>
      <c r="D1028" s="17"/>
      <c r="E1028" s="17"/>
      <c r="F1028" s="17"/>
      <c r="G1028" s="18"/>
      <c r="H1028" s="17"/>
      <c r="I1028" s="23"/>
      <c r="J1028" s="17"/>
    </row>
    <row r="1029" spans="1:10" x14ac:dyDescent="0.2">
      <c r="A1029" s="16"/>
      <c r="B1029" s="34"/>
      <c r="C1029" s="16"/>
      <c r="D1029" s="17"/>
      <c r="E1029" s="17"/>
      <c r="F1029" s="17"/>
      <c r="G1029" s="18"/>
      <c r="H1029" s="17"/>
      <c r="I1029" s="23"/>
      <c r="J1029" s="17"/>
    </row>
    <row r="1030" spans="1:10" x14ac:dyDescent="0.2">
      <c r="A1030" s="16"/>
      <c r="B1030" s="34"/>
      <c r="C1030" s="16"/>
      <c r="D1030" s="17"/>
      <c r="E1030" s="17"/>
      <c r="F1030" s="17"/>
      <c r="G1030" s="18"/>
      <c r="H1030" s="17"/>
      <c r="I1030" s="23"/>
      <c r="J1030" s="17"/>
    </row>
    <row r="1031" spans="1:10" x14ac:dyDescent="0.2">
      <c r="A1031" s="16"/>
      <c r="B1031" s="34"/>
      <c r="C1031" s="16"/>
      <c r="D1031" s="17"/>
      <c r="E1031" s="17"/>
      <c r="F1031" s="17"/>
      <c r="G1031" s="18"/>
      <c r="H1031" s="17"/>
      <c r="I1031" s="23"/>
      <c r="J1031" s="17"/>
    </row>
    <row r="1032" spans="1:10" x14ac:dyDescent="0.2">
      <c r="A1032" s="16"/>
      <c r="B1032" s="34"/>
      <c r="C1032" s="16"/>
      <c r="D1032" s="17"/>
      <c r="E1032" s="17"/>
      <c r="F1032" s="17"/>
      <c r="G1032" s="18"/>
      <c r="H1032" s="17"/>
      <c r="I1032" s="23"/>
      <c r="J1032" s="17"/>
    </row>
    <row r="1033" spans="1:10" x14ac:dyDescent="0.2">
      <c r="A1033" s="16"/>
      <c r="B1033" s="34"/>
      <c r="C1033" s="16"/>
      <c r="D1033" s="17"/>
      <c r="E1033" s="17"/>
      <c r="F1033" s="17"/>
      <c r="G1033" s="18"/>
      <c r="H1033" s="17"/>
      <c r="I1033" s="23"/>
      <c r="J1033" s="17"/>
    </row>
    <row r="1034" spans="1:10" x14ac:dyDescent="0.2">
      <c r="A1034" s="16"/>
      <c r="B1034" s="34"/>
      <c r="C1034" s="16"/>
      <c r="D1034" s="17"/>
      <c r="E1034" s="17"/>
      <c r="F1034" s="17"/>
      <c r="G1034" s="18"/>
      <c r="H1034" s="17"/>
      <c r="I1034" s="23"/>
      <c r="J1034" s="17"/>
    </row>
    <row r="1035" spans="1:10" x14ac:dyDescent="0.2">
      <c r="A1035" s="16"/>
      <c r="B1035" s="34"/>
      <c r="C1035" s="16"/>
      <c r="D1035" s="17"/>
      <c r="E1035" s="17"/>
      <c r="F1035" s="17"/>
      <c r="G1035" s="18"/>
      <c r="H1035" s="17"/>
      <c r="I1035" s="23"/>
      <c r="J1035" s="17"/>
    </row>
    <row r="1036" spans="1:10" x14ac:dyDescent="0.2">
      <c r="A1036" s="16"/>
      <c r="B1036" s="34"/>
      <c r="C1036" s="16"/>
      <c r="D1036" s="17"/>
      <c r="E1036" s="17"/>
      <c r="F1036" s="17"/>
      <c r="G1036" s="18"/>
      <c r="H1036" s="17"/>
      <c r="I1036" s="23"/>
      <c r="J1036" s="17"/>
    </row>
    <row r="1037" spans="1:10" x14ac:dyDescent="0.2">
      <c r="A1037" s="16"/>
      <c r="B1037" s="34"/>
      <c r="C1037" s="16"/>
      <c r="D1037" s="17"/>
      <c r="E1037" s="17"/>
      <c r="F1037" s="17"/>
      <c r="G1037" s="18"/>
      <c r="H1037" s="17"/>
      <c r="I1037" s="23"/>
      <c r="J1037" s="17"/>
    </row>
    <row r="1038" spans="1:10" x14ac:dyDescent="0.2">
      <c r="A1038" s="16"/>
      <c r="B1038" s="34"/>
      <c r="C1038" s="16"/>
      <c r="D1038" s="17"/>
      <c r="E1038" s="17"/>
      <c r="F1038" s="17"/>
      <c r="G1038" s="18"/>
      <c r="H1038" s="17"/>
      <c r="I1038" s="37"/>
      <c r="J1038" s="38"/>
    </row>
    <row r="1039" spans="1:10" x14ac:dyDescent="0.2">
      <c r="A1039" s="16"/>
      <c r="B1039" s="34"/>
      <c r="C1039" s="16"/>
      <c r="D1039" s="17"/>
      <c r="E1039" s="17"/>
      <c r="F1039" s="17"/>
      <c r="G1039" s="46"/>
      <c r="H1039" s="17"/>
      <c r="I1039" s="23"/>
      <c r="J1039" s="17"/>
    </row>
    <row r="1040" spans="1:10" x14ac:dyDescent="0.2">
      <c r="A1040" s="16"/>
      <c r="B1040" s="34"/>
      <c r="C1040" s="16"/>
      <c r="D1040" s="17"/>
      <c r="E1040" s="17"/>
      <c r="F1040" s="17"/>
      <c r="G1040" s="18"/>
      <c r="H1040" s="17"/>
      <c r="I1040" s="23"/>
      <c r="J1040" s="17"/>
    </row>
    <row r="1041" spans="1:10" x14ac:dyDescent="0.2">
      <c r="A1041" s="16"/>
      <c r="B1041" s="34"/>
      <c r="C1041" s="16"/>
      <c r="D1041" s="17"/>
      <c r="E1041" s="17"/>
      <c r="F1041" s="17"/>
      <c r="G1041" s="18"/>
      <c r="H1041" s="17"/>
      <c r="I1041" s="23"/>
      <c r="J1041" s="17"/>
    </row>
    <row r="1042" spans="1:10" x14ac:dyDescent="0.2">
      <c r="A1042" s="16"/>
      <c r="B1042" s="34"/>
      <c r="C1042" s="16"/>
      <c r="D1042" s="17"/>
      <c r="E1042" s="17"/>
      <c r="F1042" s="17"/>
      <c r="G1042" s="18"/>
      <c r="H1042" s="17"/>
      <c r="I1042" s="23"/>
      <c r="J1042" s="17"/>
    </row>
    <row r="1043" spans="1:10" x14ac:dyDescent="0.2">
      <c r="A1043" s="16"/>
      <c r="B1043" s="34"/>
      <c r="C1043" s="16"/>
      <c r="D1043" s="17"/>
      <c r="E1043" s="17"/>
      <c r="F1043" s="17"/>
      <c r="G1043" s="18"/>
      <c r="H1043" s="17"/>
      <c r="I1043" s="23"/>
      <c r="J1043" s="17"/>
    </row>
    <row r="1044" spans="1:10" x14ac:dyDescent="0.2">
      <c r="A1044" s="16"/>
      <c r="B1044" s="34"/>
      <c r="C1044" s="16"/>
      <c r="D1044" s="17"/>
      <c r="E1044" s="17"/>
      <c r="F1044" s="17"/>
      <c r="G1044" s="18"/>
      <c r="H1044" s="17"/>
      <c r="I1044" s="23"/>
      <c r="J1044" s="17"/>
    </row>
    <row r="1045" spans="1:10" x14ac:dyDescent="0.2">
      <c r="A1045" s="16"/>
      <c r="B1045" s="34"/>
      <c r="C1045" s="16"/>
      <c r="D1045" s="17"/>
      <c r="E1045" s="17"/>
      <c r="F1045" s="17"/>
      <c r="G1045" s="18"/>
      <c r="H1045" s="17"/>
      <c r="I1045" s="23"/>
      <c r="J1045" s="17"/>
    </row>
    <row r="1046" spans="1:10" x14ac:dyDescent="0.2">
      <c r="A1046" s="16"/>
      <c r="B1046" s="34"/>
      <c r="C1046" s="16"/>
      <c r="D1046" s="17"/>
      <c r="E1046" s="17"/>
      <c r="F1046" s="17"/>
      <c r="G1046" s="18"/>
      <c r="H1046" s="17"/>
      <c r="I1046" s="23"/>
      <c r="J1046" s="17"/>
    </row>
    <row r="1047" spans="1:10" x14ac:dyDescent="0.2">
      <c r="A1047" s="16"/>
      <c r="B1047" s="34"/>
      <c r="C1047" s="16"/>
      <c r="D1047" s="17"/>
      <c r="E1047" s="17"/>
      <c r="F1047" s="17"/>
      <c r="G1047" s="18"/>
      <c r="H1047" s="17"/>
      <c r="I1047" s="23"/>
      <c r="J1047" s="17"/>
    </row>
    <row r="1048" spans="1:10" x14ac:dyDescent="0.2">
      <c r="A1048" s="16"/>
      <c r="B1048" s="34"/>
      <c r="C1048" s="16"/>
      <c r="D1048" s="17"/>
      <c r="E1048" s="17"/>
      <c r="F1048" s="17"/>
      <c r="G1048" s="18"/>
      <c r="H1048" s="17"/>
      <c r="I1048" s="23"/>
      <c r="J1048" s="17"/>
    </row>
    <row r="1049" spans="1:10" x14ac:dyDescent="0.2">
      <c r="A1049" s="16"/>
      <c r="B1049" s="34"/>
      <c r="C1049" s="16"/>
      <c r="D1049" s="17"/>
      <c r="E1049" s="17"/>
      <c r="F1049" s="17"/>
      <c r="G1049" s="18"/>
      <c r="H1049" s="17"/>
      <c r="I1049" s="23"/>
      <c r="J1049" s="17"/>
    </row>
    <row r="1050" spans="1:10" x14ac:dyDescent="0.2">
      <c r="A1050" s="16"/>
      <c r="B1050" s="34"/>
      <c r="C1050" s="16"/>
      <c r="D1050" s="17"/>
      <c r="E1050" s="17"/>
      <c r="F1050" s="17"/>
      <c r="G1050" s="18"/>
      <c r="H1050" s="17"/>
      <c r="I1050" s="23"/>
      <c r="J1050" s="17"/>
    </row>
    <row r="1051" spans="1:10" x14ac:dyDescent="0.2">
      <c r="A1051" s="16"/>
      <c r="B1051" s="34"/>
      <c r="C1051" s="16"/>
      <c r="D1051" s="17"/>
      <c r="E1051" s="17"/>
      <c r="F1051" s="17"/>
      <c r="G1051" s="18"/>
      <c r="H1051" s="17"/>
      <c r="I1051" s="23"/>
      <c r="J1051" s="17"/>
    </row>
    <row r="1052" spans="1:10" x14ac:dyDescent="0.2">
      <c r="A1052" s="16"/>
      <c r="B1052" s="34"/>
      <c r="C1052" s="16"/>
      <c r="D1052" s="17"/>
      <c r="E1052" s="17"/>
      <c r="F1052" s="17"/>
      <c r="G1052" s="18"/>
      <c r="H1052" s="17"/>
      <c r="I1052" s="23"/>
      <c r="J1052" s="17"/>
    </row>
    <row r="1053" spans="1:10" x14ac:dyDescent="0.2">
      <c r="A1053" s="16"/>
      <c r="B1053" s="34"/>
      <c r="C1053" s="16"/>
      <c r="D1053" s="17"/>
      <c r="E1053" s="17"/>
      <c r="F1053" s="17"/>
      <c r="G1053" s="18"/>
      <c r="H1053" s="17"/>
      <c r="I1053" s="23"/>
      <c r="J1053" s="17"/>
    </row>
    <row r="1054" spans="1:10" x14ac:dyDescent="0.2">
      <c r="A1054" s="16"/>
      <c r="B1054" s="34"/>
      <c r="C1054" s="16"/>
      <c r="D1054" s="17"/>
      <c r="E1054" s="17"/>
      <c r="F1054" s="17"/>
      <c r="G1054" s="18"/>
      <c r="H1054" s="17"/>
      <c r="I1054" s="23"/>
      <c r="J1054" s="17"/>
    </row>
    <row r="1055" spans="1:10" x14ac:dyDescent="0.2">
      <c r="A1055" s="16"/>
      <c r="B1055" s="34"/>
      <c r="C1055" s="16"/>
      <c r="D1055" s="17"/>
      <c r="E1055" s="17"/>
      <c r="F1055" s="17"/>
      <c r="G1055" s="18"/>
      <c r="H1055" s="17"/>
      <c r="I1055" s="37"/>
      <c r="J1055" s="38"/>
    </row>
    <row r="1056" spans="1:10" x14ac:dyDescent="0.2">
      <c r="A1056" s="16"/>
      <c r="B1056" s="34"/>
      <c r="C1056" s="16"/>
      <c r="D1056" s="17"/>
      <c r="E1056" s="17"/>
      <c r="F1056" s="17"/>
      <c r="G1056" s="18"/>
      <c r="H1056" s="17"/>
      <c r="I1056" s="23"/>
      <c r="J1056" s="17"/>
    </row>
    <row r="1057" spans="1:10" x14ac:dyDescent="0.2">
      <c r="A1057" s="16"/>
      <c r="B1057" s="34"/>
      <c r="C1057" s="16"/>
      <c r="D1057" s="17"/>
      <c r="E1057" s="17"/>
      <c r="F1057" s="17"/>
      <c r="G1057" s="18"/>
      <c r="H1057" s="17"/>
      <c r="I1057" s="23"/>
      <c r="J1057" s="17"/>
    </row>
    <row r="1058" spans="1:10" x14ac:dyDescent="0.2">
      <c r="A1058" s="16"/>
      <c r="B1058" s="34"/>
      <c r="C1058" s="16"/>
      <c r="D1058" s="17"/>
      <c r="E1058" s="17"/>
      <c r="F1058" s="17"/>
      <c r="G1058" s="18"/>
      <c r="H1058" s="17"/>
      <c r="I1058" s="23"/>
      <c r="J1058" s="17"/>
    </row>
    <row r="1059" spans="1:10" x14ac:dyDescent="0.2">
      <c r="A1059" s="16"/>
      <c r="B1059" s="34"/>
      <c r="C1059" s="16"/>
      <c r="D1059" s="17"/>
      <c r="E1059" s="17"/>
      <c r="F1059" s="17"/>
      <c r="G1059" s="18"/>
      <c r="H1059" s="17"/>
      <c r="I1059" s="23"/>
      <c r="J1059" s="17"/>
    </row>
    <row r="1060" spans="1:10" x14ac:dyDescent="0.2">
      <c r="A1060" s="16"/>
      <c r="B1060" s="34"/>
      <c r="C1060" s="16"/>
      <c r="D1060" s="17"/>
      <c r="E1060" s="17"/>
      <c r="F1060" s="17"/>
      <c r="G1060" s="18"/>
      <c r="H1060" s="17"/>
      <c r="I1060" s="23"/>
      <c r="J1060" s="17"/>
    </row>
    <row r="1061" spans="1:10" x14ac:dyDescent="0.2">
      <c r="A1061" s="16"/>
      <c r="B1061" s="34"/>
      <c r="C1061" s="16"/>
      <c r="D1061" s="17"/>
      <c r="E1061" s="17"/>
      <c r="F1061" s="17"/>
      <c r="G1061" s="18"/>
      <c r="H1061" s="17"/>
      <c r="I1061" s="23"/>
      <c r="J1061" s="17"/>
    </row>
    <row r="1062" spans="1:10" x14ac:dyDescent="0.2">
      <c r="A1062" s="16"/>
      <c r="B1062" s="34"/>
      <c r="C1062" s="16"/>
      <c r="D1062" s="17"/>
      <c r="E1062" s="17"/>
      <c r="F1062" s="17"/>
      <c r="G1062" s="18"/>
      <c r="H1062" s="17"/>
      <c r="I1062" s="23"/>
      <c r="J1062" s="17"/>
    </row>
    <row r="1063" spans="1:10" x14ac:dyDescent="0.2">
      <c r="A1063" s="16"/>
      <c r="B1063" s="34"/>
      <c r="C1063" s="16"/>
      <c r="D1063" s="17"/>
      <c r="E1063" s="17"/>
      <c r="F1063" s="17"/>
      <c r="G1063" s="18"/>
      <c r="H1063" s="17"/>
      <c r="I1063" s="23"/>
      <c r="J1063" s="17"/>
    </row>
    <row r="1064" spans="1:10" x14ac:dyDescent="0.2">
      <c r="A1064" s="16"/>
      <c r="B1064" s="34"/>
      <c r="C1064" s="16"/>
      <c r="D1064" s="17"/>
      <c r="E1064" s="17"/>
      <c r="F1064" s="17"/>
      <c r="G1064" s="18"/>
      <c r="H1064" s="17"/>
      <c r="I1064" s="23"/>
      <c r="J1064" s="17"/>
    </row>
    <row r="1065" spans="1:10" x14ac:dyDescent="0.2">
      <c r="A1065" s="16"/>
      <c r="B1065" s="34"/>
      <c r="C1065" s="16"/>
      <c r="D1065" s="17"/>
      <c r="E1065" s="17"/>
      <c r="F1065" s="17"/>
      <c r="G1065" s="18"/>
      <c r="H1065" s="17"/>
      <c r="I1065" s="23"/>
      <c r="J1065" s="17"/>
    </row>
    <row r="1066" spans="1:10" x14ac:dyDescent="0.2">
      <c r="A1066" s="16"/>
      <c r="B1066" s="34"/>
      <c r="C1066" s="16"/>
      <c r="D1066" s="17"/>
      <c r="E1066" s="17"/>
      <c r="F1066" s="17"/>
      <c r="G1066" s="18"/>
      <c r="H1066" s="17"/>
      <c r="I1066" s="23"/>
      <c r="J1066" s="17"/>
    </row>
    <row r="1067" spans="1:10" x14ac:dyDescent="0.2">
      <c r="A1067" s="16"/>
      <c r="B1067" s="34"/>
      <c r="C1067" s="16"/>
      <c r="D1067" s="17"/>
      <c r="E1067" s="17"/>
      <c r="F1067" s="17"/>
      <c r="G1067" s="18"/>
      <c r="H1067" s="17"/>
      <c r="I1067" s="23"/>
      <c r="J1067" s="17"/>
    </row>
    <row r="1068" spans="1:10" x14ac:dyDescent="0.2">
      <c r="A1068" s="16"/>
      <c r="B1068" s="34"/>
      <c r="C1068" s="16"/>
      <c r="D1068" s="17"/>
      <c r="E1068" s="17"/>
      <c r="F1068" s="17"/>
      <c r="G1068" s="18"/>
      <c r="H1068" s="17"/>
      <c r="I1068" s="23"/>
      <c r="J1068" s="17"/>
    </row>
    <row r="1069" spans="1:10" x14ac:dyDescent="0.2">
      <c r="A1069" s="16"/>
      <c r="B1069" s="34"/>
      <c r="C1069" s="16"/>
      <c r="D1069" s="17"/>
      <c r="E1069" s="17"/>
      <c r="F1069" s="17"/>
      <c r="G1069" s="18"/>
      <c r="H1069" s="17"/>
      <c r="I1069" s="23"/>
      <c r="J1069" s="17"/>
    </row>
    <row r="1070" spans="1:10" x14ac:dyDescent="0.2">
      <c r="A1070" s="16"/>
      <c r="B1070" s="34"/>
      <c r="C1070" s="16"/>
      <c r="D1070" s="17"/>
      <c r="E1070" s="17"/>
      <c r="F1070" s="17"/>
      <c r="G1070" s="18"/>
      <c r="H1070" s="17"/>
      <c r="I1070" s="23"/>
      <c r="J1070" s="17"/>
    </row>
    <row r="1071" spans="1:10" x14ac:dyDescent="0.2">
      <c r="A1071" s="16"/>
      <c r="B1071" s="34"/>
      <c r="C1071" s="16"/>
      <c r="D1071" s="17"/>
      <c r="E1071" s="17"/>
      <c r="F1071" s="17"/>
      <c r="G1071" s="18"/>
      <c r="H1071" s="17"/>
      <c r="I1071" s="23"/>
      <c r="J1071" s="39"/>
    </row>
    <row r="1072" spans="1:10" x14ac:dyDescent="0.2">
      <c r="A1072" s="16"/>
      <c r="B1072" s="34"/>
      <c r="C1072" s="16"/>
      <c r="D1072" s="17"/>
      <c r="E1072" s="17"/>
      <c r="F1072" s="17"/>
      <c r="G1072" s="18"/>
      <c r="H1072" s="17"/>
      <c r="I1072" s="23"/>
      <c r="J1072" s="23"/>
    </row>
    <row r="1073" spans="1:10" x14ac:dyDescent="0.2">
      <c r="A1073" s="16"/>
      <c r="B1073" s="34"/>
      <c r="C1073" s="16"/>
      <c r="D1073" s="17"/>
      <c r="E1073" s="17"/>
      <c r="F1073" s="17"/>
      <c r="G1073" s="18"/>
      <c r="H1073" s="17"/>
      <c r="I1073" s="23"/>
      <c r="J1073" s="17"/>
    </row>
    <row r="1074" spans="1:10" x14ac:dyDescent="0.2">
      <c r="A1074" s="16"/>
      <c r="B1074" s="34"/>
      <c r="C1074" s="16"/>
      <c r="D1074" s="17"/>
      <c r="E1074" s="17"/>
      <c r="F1074" s="17"/>
      <c r="G1074" s="18"/>
      <c r="H1074" s="17"/>
      <c r="I1074" s="23"/>
      <c r="J1074" s="17"/>
    </row>
    <row r="1075" spans="1:10" x14ac:dyDescent="0.2">
      <c r="A1075" s="16"/>
      <c r="B1075" s="34"/>
      <c r="C1075" s="16"/>
      <c r="D1075" s="17"/>
      <c r="E1075" s="17"/>
      <c r="F1075" s="17"/>
      <c r="G1075" s="18"/>
      <c r="H1075" s="17"/>
      <c r="I1075" s="23"/>
      <c r="J1075" s="17"/>
    </row>
    <row r="1076" spans="1:10" x14ac:dyDescent="0.2">
      <c r="A1076" s="16"/>
      <c r="B1076" s="34"/>
      <c r="C1076" s="16"/>
      <c r="D1076" s="17"/>
      <c r="E1076" s="17"/>
      <c r="F1076" s="17"/>
      <c r="G1076" s="18"/>
      <c r="H1076" s="17"/>
      <c r="I1076" s="23"/>
      <c r="J1076" s="17"/>
    </row>
    <row r="1077" spans="1:10" x14ac:dyDescent="0.2">
      <c r="A1077" s="16"/>
      <c r="B1077" s="34"/>
      <c r="C1077" s="16"/>
      <c r="D1077" s="17"/>
      <c r="E1077" s="17"/>
      <c r="F1077" s="17"/>
      <c r="G1077" s="18"/>
      <c r="H1077" s="17"/>
      <c r="I1077" s="23"/>
      <c r="J1077" s="17"/>
    </row>
    <row r="1078" spans="1:10" x14ac:dyDescent="0.2">
      <c r="A1078" s="16"/>
      <c r="B1078" s="34"/>
      <c r="C1078" s="16"/>
      <c r="D1078" s="17"/>
      <c r="E1078" s="17"/>
      <c r="F1078" s="17"/>
      <c r="G1078" s="18"/>
      <c r="H1078" s="17"/>
      <c r="I1078" s="23"/>
      <c r="J1078" s="17"/>
    </row>
    <row r="1079" spans="1:10" x14ac:dyDescent="0.2">
      <c r="A1079" s="16"/>
      <c r="B1079" s="34"/>
      <c r="C1079" s="16"/>
      <c r="D1079" s="17"/>
      <c r="E1079" s="17"/>
      <c r="F1079" s="17"/>
      <c r="G1079" s="18"/>
      <c r="H1079" s="17"/>
      <c r="I1079" s="23"/>
      <c r="J1079" s="17"/>
    </row>
    <row r="1080" spans="1:10" x14ac:dyDescent="0.2">
      <c r="A1080" s="16"/>
      <c r="B1080" s="34"/>
      <c r="C1080" s="16"/>
      <c r="D1080" s="17"/>
      <c r="E1080" s="17"/>
      <c r="F1080" s="17"/>
      <c r="G1080" s="18"/>
      <c r="H1080" s="17"/>
      <c r="I1080" s="36"/>
      <c r="J1080" s="17"/>
    </row>
    <row r="1081" spans="1:10" x14ac:dyDescent="0.2">
      <c r="A1081" s="16"/>
      <c r="B1081" s="34"/>
      <c r="C1081" s="16"/>
      <c r="D1081" s="17"/>
      <c r="E1081" s="17"/>
      <c r="F1081" s="17"/>
      <c r="G1081" s="18"/>
      <c r="H1081" s="17"/>
      <c r="I1081" s="23"/>
      <c r="J1081" s="17"/>
    </row>
    <row r="1082" spans="1:10" x14ac:dyDescent="0.2">
      <c r="A1082" s="16"/>
      <c r="B1082" s="34"/>
      <c r="C1082" s="16"/>
      <c r="D1082" s="17"/>
      <c r="E1082" s="17"/>
      <c r="F1082" s="17"/>
      <c r="G1082" s="18"/>
      <c r="H1082" s="17"/>
      <c r="I1082" s="23"/>
      <c r="J1082" s="17"/>
    </row>
    <row r="1083" spans="1:10" x14ac:dyDescent="0.2">
      <c r="A1083" s="16"/>
      <c r="B1083" s="34"/>
      <c r="C1083" s="16"/>
      <c r="D1083" s="17"/>
      <c r="E1083" s="17"/>
      <c r="F1083" s="17"/>
      <c r="G1083" s="18"/>
      <c r="H1083" s="17"/>
      <c r="I1083" s="23"/>
      <c r="J1083" s="17"/>
    </row>
    <row r="1084" spans="1:10" x14ac:dyDescent="0.2">
      <c r="A1084" s="16"/>
      <c r="B1084" s="34"/>
      <c r="C1084" s="16"/>
      <c r="D1084" s="17"/>
      <c r="E1084" s="17"/>
      <c r="F1084" s="17"/>
      <c r="G1084" s="18"/>
      <c r="H1084" s="17"/>
      <c r="I1084" s="23"/>
      <c r="J1084" s="17"/>
    </row>
    <row r="1085" spans="1:10" x14ac:dyDescent="0.2">
      <c r="A1085" s="16"/>
      <c r="B1085" s="34"/>
      <c r="C1085" s="16"/>
      <c r="D1085" s="17"/>
      <c r="E1085" s="17"/>
      <c r="F1085" s="17"/>
      <c r="G1085" s="18"/>
      <c r="H1085" s="17"/>
      <c r="I1085" s="23"/>
      <c r="J1085" s="17"/>
    </row>
    <row r="1086" spans="1:10" x14ac:dyDescent="0.2">
      <c r="A1086" s="16"/>
      <c r="B1086" s="34"/>
      <c r="C1086" s="16"/>
      <c r="D1086" s="17"/>
      <c r="E1086" s="17"/>
      <c r="F1086" s="17"/>
      <c r="G1086" s="18"/>
      <c r="H1086" s="17"/>
      <c r="I1086" s="23"/>
      <c r="J1086" s="17"/>
    </row>
    <row r="1087" spans="1:10" x14ac:dyDescent="0.2">
      <c r="A1087" s="16"/>
      <c r="B1087" s="34"/>
      <c r="C1087" s="16"/>
      <c r="D1087" s="17"/>
      <c r="E1087" s="17"/>
      <c r="F1087" s="17"/>
      <c r="G1087" s="18"/>
      <c r="H1087" s="17"/>
      <c r="I1087" s="23"/>
      <c r="J1087" s="17"/>
    </row>
    <row r="1088" spans="1:10" x14ac:dyDescent="0.2">
      <c r="A1088" s="16"/>
      <c r="B1088" s="34"/>
      <c r="C1088" s="16"/>
      <c r="D1088" s="17"/>
      <c r="E1088" s="17"/>
      <c r="F1088" s="17"/>
      <c r="G1088" s="18"/>
      <c r="H1088" s="17"/>
      <c r="I1088" s="23"/>
      <c r="J1088" s="17"/>
    </row>
    <row r="1089" spans="1:10" x14ac:dyDescent="0.2">
      <c r="A1089" s="16"/>
      <c r="B1089" s="34"/>
      <c r="C1089" s="16"/>
      <c r="D1089" s="17"/>
      <c r="E1089" s="17"/>
      <c r="F1089" s="17"/>
      <c r="G1089" s="18"/>
      <c r="H1089" s="17"/>
      <c r="I1089" s="23"/>
      <c r="J1089" s="17"/>
    </row>
    <row r="1090" spans="1:10" x14ac:dyDescent="0.2">
      <c r="A1090" s="16"/>
      <c r="B1090" s="34"/>
      <c r="C1090" s="16"/>
      <c r="D1090" s="17"/>
      <c r="E1090" s="17"/>
      <c r="F1090" s="17"/>
      <c r="G1090" s="18"/>
      <c r="H1090" s="17"/>
      <c r="I1090" s="23"/>
      <c r="J1090" s="17"/>
    </row>
    <row r="1091" spans="1:10" x14ac:dyDescent="0.2">
      <c r="A1091" s="16"/>
      <c r="B1091" s="34"/>
      <c r="C1091" s="16"/>
      <c r="D1091" s="17"/>
      <c r="E1091" s="17"/>
      <c r="F1091" s="17"/>
      <c r="G1091" s="18"/>
      <c r="H1091" s="17"/>
      <c r="I1091" s="23"/>
      <c r="J1091" s="17"/>
    </row>
    <row r="1092" spans="1:10" x14ac:dyDescent="0.2">
      <c r="A1092" s="16"/>
      <c r="B1092" s="34"/>
      <c r="C1092" s="16"/>
      <c r="D1092" s="17"/>
      <c r="E1092" s="17"/>
      <c r="F1092" s="17"/>
      <c r="G1092" s="18"/>
      <c r="H1092" s="17"/>
      <c r="I1092" s="23"/>
      <c r="J1092" s="23"/>
    </row>
    <row r="1093" spans="1:10" x14ac:dyDescent="0.2">
      <c r="A1093" s="16"/>
      <c r="B1093" s="34"/>
      <c r="C1093" s="16"/>
      <c r="D1093" s="17"/>
      <c r="E1093" s="17"/>
      <c r="F1093" s="17"/>
      <c r="G1093" s="18"/>
      <c r="H1093" s="17"/>
      <c r="I1093" s="23"/>
      <c r="J1093" s="17"/>
    </row>
    <row r="1094" spans="1:10" x14ac:dyDescent="0.2">
      <c r="A1094" s="16"/>
      <c r="B1094" s="34"/>
      <c r="C1094" s="16"/>
      <c r="D1094" s="17"/>
      <c r="E1094" s="17"/>
      <c r="F1094" s="17"/>
      <c r="G1094" s="18"/>
      <c r="H1094" s="17"/>
      <c r="I1094" s="23"/>
      <c r="J1094" s="17"/>
    </row>
    <row r="1095" spans="1:10" x14ac:dyDescent="0.2">
      <c r="A1095" s="16"/>
      <c r="B1095" s="34"/>
      <c r="C1095" s="16"/>
      <c r="D1095" s="17"/>
      <c r="E1095" s="17"/>
      <c r="F1095" s="17"/>
      <c r="G1095" s="18"/>
      <c r="H1095" s="17"/>
      <c r="I1095" s="23"/>
      <c r="J1095" s="17"/>
    </row>
    <row r="1096" spans="1:10" x14ac:dyDescent="0.2">
      <c r="A1096" s="16"/>
      <c r="B1096" s="34"/>
      <c r="C1096" s="16"/>
      <c r="D1096" s="17"/>
      <c r="E1096" s="17"/>
      <c r="F1096" s="17"/>
      <c r="G1096" s="18"/>
      <c r="H1096" s="17"/>
      <c r="I1096" s="23"/>
      <c r="J1096" s="17"/>
    </row>
    <row r="1097" spans="1:10" x14ac:dyDescent="0.2">
      <c r="A1097" s="16"/>
      <c r="B1097" s="34"/>
      <c r="C1097" s="16"/>
      <c r="D1097" s="17"/>
      <c r="E1097" s="17"/>
      <c r="F1097" s="17"/>
      <c r="G1097" s="18"/>
      <c r="H1097" s="17"/>
      <c r="I1097" s="45"/>
      <c r="J1097" s="29"/>
    </row>
    <row r="1098" spans="1:10" x14ac:dyDescent="0.2">
      <c r="A1098" s="16"/>
      <c r="B1098" s="34"/>
      <c r="C1098" s="16"/>
      <c r="D1098" s="17"/>
      <c r="E1098" s="17"/>
      <c r="F1098" s="17"/>
      <c r="G1098" s="18"/>
      <c r="H1098" s="17"/>
      <c r="I1098" s="23"/>
      <c r="J1098" s="17"/>
    </row>
    <row r="1099" spans="1:10" x14ac:dyDescent="0.2">
      <c r="A1099" s="16"/>
      <c r="B1099" s="34"/>
      <c r="C1099" s="16"/>
      <c r="D1099" s="17"/>
      <c r="E1099" s="17"/>
      <c r="F1099" s="17"/>
      <c r="G1099" s="18"/>
      <c r="H1099" s="17"/>
      <c r="I1099" s="23"/>
      <c r="J1099" s="17"/>
    </row>
    <row r="1100" spans="1:10" x14ac:dyDescent="0.2">
      <c r="A1100" s="16"/>
      <c r="B1100" s="34"/>
      <c r="C1100" s="16"/>
      <c r="D1100" s="17"/>
      <c r="E1100" s="17"/>
      <c r="F1100" s="17"/>
      <c r="G1100" s="18"/>
      <c r="H1100" s="17"/>
      <c r="I1100" s="23"/>
      <c r="J1100" s="17"/>
    </row>
    <row r="1101" spans="1:10" x14ac:dyDescent="0.2">
      <c r="A1101" s="16"/>
      <c r="B1101" s="34"/>
      <c r="C1101" s="16"/>
      <c r="D1101" s="17"/>
      <c r="E1101" s="17"/>
      <c r="F1101" s="17"/>
      <c r="G1101" s="18"/>
      <c r="H1101" s="17"/>
      <c r="I1101" s="23"/>
      <c r="J1101" s="17"/>
    </row>
    <row r="1102" spans="1:10" x14ac:dyDescent="0.2">
      <c r="A1102" s="16"/>
      <c r="B1102" s="34"/>
      <c r="C1102" s="16"/>
      <c r="D1102" s="17"/>
      <c r="E1102" s="17"/>
      <c r="F1102" s="17"/>
      <c r="G1102" s="18"/>
      <c r="H1102" s="17"/>
      <c r="I1102" s="23"/>
      <c r="J1102" s="17"/>
    </row>
    <row r="1103" spans="1:10" x14ac:dyDescent="0.2">
      <c r="A1103" s="16"/>
      <c r="B1103" s="34"/>
      <c r="C1103" s="16"/>
      <c r="D1103" s="17"/>
      <c r="E1103" s="17"/>
      <c r="F1103" s="17"/>
      <c r="G1103" s="18"/>
      <c r="H1103" s="17"/>
      <c r="I1103" s="23"/>
      <c r="J1103" s="17"/>
    </row>
    <row r="1104" spans="1:10" x14ac:dyDescent="0.2">
      <c r="A1104" s="16"/>
      <c r="B1104" s="34"/>
      <c r="C1104" s="16"/>
      <c r="D1104" s="17"/>
      <c r="E1104" s="17"/>
      <c r="F1104" s="17"/>
      <c r="G1104" s="18"/>
      <c r="H1104" s="17"/>
      <c r="I1104" s="23"/>
      <c r="J1104" s="17"/>
    </row>
    <row r="1105" spans="1:10" x14ac:dyDescent="0.2">
      <c r="A1105" s="16"/>
      <c r="B1105" s="34"/>
      <c r="C1105" s="16"/>
      <c r="D1105" s="17"/>
      <c r="E1105" s="17"/>
      <c r="F1105" s="17"/>
      <c r="G1105" s="18"/>
      <c r="H1105" s="17"/>
      <c r="I1105" s="36"/>
      <c r="J1105" s="21"/>
    </row>
    <row r="1106" spans="1:10" x14ac:dyDescent="0.2">
      <c r="A1106" s="16"/>
      <c r="B1106" s="34"/>
      <c r="C1106" s="16"/>
      <c r="D1106" s="17"/>
      <c r="E1106" s="17"/>
      <c r="F1106" s="17"/>
      <c r="G1106" s="18"/>
      <c r="H1106" s="17"/>
      <c r="I1106" s="23"/>
      <c r="J1106" s="17"/>
    </row>
    <row r="1107" spans="1:10" ht="16" x14ac:dyDescent="0.2">
      <c r="A1107" s="16">
        <v>140</v>
      </c>
      <c r="B1107" s="34">
        <v>43228</v>
      </c>
      <c r="C1107" s="16">
        <v>9</v>
      </c>
      <c r="D1107" s="17" t="s">
        <v>796</v>
      </c>
      <c r="E1107" s="17" t="s">
        <v>693</v>
      </c>
      <c r="F1107" s="17" t="s">
        <v>797</v>
      </c>
      <c r="G1107" s="18" t="s">
        <v>294</v>
      </c>
      <c r="H1107" s="17" t="s">
        <v>119</v>
      </c>
      <c r="I1107" s="23" t="s">
        <v>181</v>
      </c>
      <c r="J1107" s="17" t="s">
        <v>181</v>
      </c>
    </row>
    <row r="1108" spans="1:10" ht="16" x14ac:dyDescent="0.2">
      <c r="A1108" s="16">
        <v>140</v>
      </c>
      <c r="B1108" s="34">
        <v>43238</v>
      </c>
      <c r="C1108" s="16">
        <v>9</v>
      </c>
      <c r="D1108" s="17" t="s">
        <v>796</v>
      </c>
      <c r="E1108" s="17" t="s">
        <v>693</v>
      </c>
      <c r="F1108" s="17" t="s">
        <v>797</v>
      </c>
      <c r="G1108" s="18" t="s">
        <v>542</v>
      </c>
      <c r="H1108" s="17" t="s">
        <v>119</v>
      </c>
      <c r="I1108" s="23" t="s">
        <v>181</v>
      </c>
      <c r="J1108" s="17" t="s">
        <v>181</v>
      </c>
    </row>
    <row r="1109" spans="1:10" ht="16" x14ac:dyDescent="0.2">
      <c r="A1109" s="16">
        <v>141</v>
      </c>
      <c r="B1109" s="34">
        <v>43216</v>
      </c>
      <c r="C1109" s="16">
        <v>7</v>
      </c>
      <c r="D1109" s="17" t="s">
        <v>798</v>
      </c>
      <c r="E1109" s="17" t="s">
        <v>202</v>
      </c>
      <c r="F1109" s="17" t="s">
        <v>799</v>
      </c>
      <c r="G1109" s="18" t="s">
        <v>800</v>
      </c>
      <c r="H1109" s="17" t="s">
        <v>13</v>
      </c>
      <c r="I1109" s="23" t="s">
        <v>200</v>
      </c>
      <c r="J1109" s="17" t="s">
        <v>200</v>
      </c>
    </row>
    <row r="1110" spans="1:10" ht="32" x14ac:dyDescent="0.2">
      <c r="A1110" s="16">
        <v>142</v>
      </c>
      <c r="B1110" s="34">
        <v>43243</v>
      </c>
      <c r="C1110" s="16">
        <v>18</v>
      </c>
      <c r="D1110" s="17" t="s">
        <v>437</v>
      </c>
      <c r="E1110" s="17" t="s">
        <v>10</v>
      </c>
      <c r="F1110" s="17" t="s">
        <v>801</v>
      </c>
      <c r="G1110" s="18" t="s">
        <v>802</v>
      </c>
      <c r="H1110" s="17" t="s">
        <v>58</v>
      </c>
      <c r="I1110" s="23" t="s">
        <v>181</v>
      </c>
      <c r="J1110" s="17" t="s">
        <v>181</v>
      </c>
    </row>
    <row r="1111" spans="1:10" x14ac:dyDescent="0.2">
      <c r="A1111" s="16"/>
      <c r="B1111" s="34"/>
      <c r="C1111" s="16"/>
      <c r="D1111" s="17"/>
      <c r="E1111" s="17"/>
      <c r="F1111" s="17"/>
      <c r="G1111" s="18"/>
      <c r="H1111" s="17"/>
      <c r="I1111" s="23"/>
      <c r="J1111" s="17"/>
    </row>
    <row r="1112" spans="1:10" x14ac:dyDescent="0.2">
      <c r="A1112" s="16"/>
      <c r="B1112" s="34"/>
      <c r="C1112" s="16"/>
      <c r="D1112" s="17"/>
      <c r="E1112" s="17"/>
      <c r="F1112" s="17"/>
      <c r="G1112" s="18"/>
      <c r="H1112" s="17"/>
      <c r="I1112" s="23"/>
      <c r="J1112" s="17"/>
    </row>
    <row r="1113" spans="1:10" x14ac:dyDescent="0.2">
      <c r="A1113" s="16"/>
      <c r="B1113" s="34"/>
      <c r="C1113" s="16"/>
      <c r="D1113" s="17"/>
      <c r="E1113" s="17"/>
      <c r="F1113" s="17"/>
      <c r="G1113" s="18"/>
      <c r="H1113" s="17"/>
      <c r="I1113" s="23"/>
      <c r="J1113" s="17"/>
    </row>
    <row r="1114" spans="1:10" x14ac:dyDescent="0.2">
      <c r="A1114" s="16"/>
      <c r="B1114" s="34"/>
      <c r="C1114" s="16"/>
      <c r="D1114" s="17"/>
      <c r="E1114" s="17"/>
      <c r="F1114" s="17"/>
      <c r="G1114" s="18"/>
      <c r="H1114" s="17"/>
      <c r="I1114" s="23"/>
      <c r="J1114" s="17"/>
    </row>
    <row r="1115" spans="1:10" x14ac:dyDescent="0.2">
      <c r="A1115" s="16"/>
      <c r="B1115" s="34"/>
      <c r="C1115" s="16"/>
      <c r="D1115" s="17"/>
      <c r="E1115" s="17"/>
      <c r="F1115" s="17"/>
      <c r="G1115" s="18"/>
      <c r="H1115" s="17"/>
      <c r="I1115" s="23"/>
      <c r="J1115" s="17"/>
    </row>
    <row r="1116" spans="1:10" x14ac:dyDescent="0.2">
      <c r="A1116" s="16"/>
      <c r="B1116" s="34"/>
      <c r="C1116" s="16"/>
      <c r="D1116" s="17"/>
      <c r="E1116" s="17"/>
      <c r="F1116" s="17"/>
      <c r="G1116" s="18"/>
      <c r="H1116" s="17"/>
      <c r="I1116" s="23"/>
      <c r="J1116" s="17"/>
    </row>
    <row r="1117" spans="1:10" x14ac:dyDescent="0.2">
      <c r="A1117" s="16"/>
      <c r="B1117" s="34"/>
      <c r="C1117" s="16"/>
      <c r="D1117" s="17"/>
      <c r="E1117" s="17"/>
      <c r="F1117" s="17"/>
      <c r="G1117" s="18"/>
      <c r="H1117" s="17"/>
      <c r="I1117" s="23"/>
      <c r="J1117" s="17"/>
    </row>
    <row r="1118" spans="1:10" x14ac:dyDescent="0.2">
      <c r="A1118" s="16"/>
      <c r="B1118" s="34"/>
      <c r="C1118" s="16"/>
      <c r="D1118" s="17"/>
      <c r="E1118" s="17"/>
      <c r="F1118" s="17"/>
      <c r="G1118" s="18"/>
      <c r="H1118" s="17"/>
      <c r="I1118" s="23"/>
      <c r="J1118" s="17"/>
    </row>
    <row r="1119" spans="1:10" x14ac:dyDescent="0.2">
      <c r="A1119" s="16"/>
      <c r="B1119" s="34"/>
      <c r="C1119" s="16"/>
      <c r="D1119" s="17"/>
      <c r="E1119" s="17"/>
      <c r="F1119" s="17"/>
      <c r="G1119" s="18"/>
      <c r="H1119" s="17"/>
      <c r="I1119" s="23"/>
      <c r="J1119" s="17"/>
    </row>
    <row r="1120" spans="1:10" x14ac:dyDescent="0.2">
      <c r="A1120" s="16"/>
      <c r="B1120" s="34"/>
      <c r="C1120" s="16"/>
      <c r="D1120" s="17"/>
      <c r="E1120" s="17"/>
      <c r="F1120" s="17"/>
      <c r="G1120" s="18"/>
      <c r="H1120" s="17"/>
      <c r="I1120" s="23"/>
      <c r="J1120" s="17"/>
    </row>
    <row r="1121" spans="1:10" x14ac:dyDescent="0.2">
      <c r="A1121" s="16"/>
      <c r="B1121" s="34"/>
      <c r="C1121" s="16"/>
      <c r="D1121" s="17"/>
      <c r="E1121" s="17"/>
      <c r="F1121" s="17"/>
      <c r="G1121" s="18"/>
      <c r="H1121" s="17"/>
      <c r="I1121" s="23"/>
      <c r="J1121" s="17"/>
    </row>
    <row r="1122" spans="1:10" x14ac:dyDescent="0.2">
      <c r="A1122" s="16"/>
      <c r="B1122" s="34"/>
      <c r="C1122" s="16"/>
      <c r="D1122" s="17"/>
      <c r="E1122" s="17"/>
      <c r="F1122" s="17"/>
      <c r="G1122" s="18"/>
      <c r="H1122" s="17"/>
      <c r="I1122" s="23"/>
      <c r="J1122" s="17"/>
    </row>
    <row r="1123" spans="1:10" x14ac:dyDescent="0.2">
      <c r="A1123" s="16"/>
      <c r="B1123" s="34"/>
      <c r="C1123" s="16"/>
      <c r="D1123" s="17"/>
      <c r="E1123" s="17"/>
      <c r="F1123" s="17"/>
      <c r="G1123" s="18"/>
      <c r="H1123" s="17"/>
      <c r="I1123" s="23"/>
      <c r="J1123" s="17"/>
    </row>
    <row r="1124" spans="1:10" x14ac:dyDescent="0.2">
      <c r="A1124" s="16"/>
      <c r="B1124" s="34"/>
      <c r="C1124" s="16"/>
      <c r="D1124" s="17"/>
      <c r="E1124" s="17"/>
      <c r="F1124" s="17"/>
      <c r="G1124" s="18"/>
      <c r="H1124" s="17"/>
      <c r="I1124" s="23"/>
      <c r="J1124" s="17"/>
    </row>
    <row r="1125" spans="1:10" x14ac:dyDescent="0.2">
      <c r="A1125" s="16"/>
      <c r="B1125" s="34"/>
      <c r="C1125" s="16"/>
      <c r="D1125" s="17"/>
      <c r="E1125" s="17"/>
      <c r="F1125" s="17"/>
      <c r="G1125" s="18"/>
      <c r="H1125" s="17"/>
      <c r="I1125" s="23"/>
      <c r="J1125" s="17"/>
    </row>
    <row r="1126" spans="1:10" x14ac:dyDescent="0.2">
      <c r="A1126" s="16"/>
      <c r="B1126" s="34"/>
      <c r="C1126" s="16"/>
      <c r="D1126" s="17"/>
      <c r="E1126" s="17"/>
      <c r="F1126" s="17"/>
      <c r="G1126" s="18"/>
      <c r="H1126" s="17"/>
      <c r="I1126" s="23"/>
      <c r="J1126" s="17"/>
    </row>
    <row r="1127" spans="1:10" x14ac:dyDescent="0.2">
      <c r="A1127" s="16"/>
      <c r="B1127" s="34"/>
      <c r="C1127" s="16"/>
      <c r="D1127" s="17"/>
      <c r="E1127" s="17"/>
      <c r="F1127" s="17"/>
      <c r="G1127" s="18"/>
      <c r="H1127" s="17"/>
      <c r="I1127" s="23"/>
      <c r="J1127" s="17"/>
    </row>
    <row r="1128" spans="1:10" x14ac:dyDescent="0.2">
      <c r="A1128" s="16"/>
      <c r="B1128" s="34"/>
      <c r="C1128" s="16"/>
      <c r="D1128" s="17"/>
      <c r="E1128" s="17"/>
      <c r="F1128" s="17"/>
      <c r="G1128" s="18"/>
      <c r="H1128" s="17"/>
      <c r="I1128" s="23"/>
      <c r="J1128" s="17"/>
    </row>
    <row r="1129" spans="1:10" x14ac:dyDescent="0.2">
      <c r="A1129" s="16"/>
      <c r="B1129" s="34"/>
      <c r="C1129" s="16"/>
      <c r="D1129" s="17"/>
      <c r="E1129" s="17"/>
      <c r="F1129" s="17"/>
      <c r="G1129" s="18"/>
      <c r="H1129" s="17"/>
      <c r="I1129" s="23"/>
      <c r="J1129" s="17"/>
    </row>
    <row r="1130" spans="1:10" x14ac:dyDescent="0.2">
      <c r="A1130" s="16"/>
      <c r="B1130" s="34"/>
      <c r="C1130" s="16"/>
      <c r="D1130" s="17"/>
      <c r="E1130" s="17"/>
      <c r="F1130" s="17"/>
      <c r="G1130" s="18"/>
      <c r="H1130" s="17"/>
      <c r="I1130" s="23"/>
      <c r="J1130" s="17"/>
    </row>
    <row r="1131" spans="1:10" x14ac:dyDescent="0.2">
      <c r="A1131" s="16"/>
      <c r="B1131" s="34"/>
      <c r="C1131" s="16"/>
      <c r="D1131" s="17"/>
      <c r="E1131" s="17"/>
      <c r="F1131" s="17"/>
      <c r="G1131" s="18"/>
      <c r="H1131" s="17"/>
      <c r="I1131" s="23"/>
      <c r="J1131" s="17"/>
    </row>
    <row r="1132" spans="1:10" x14ac:dyDescent="0.2">
      <c r="A1132" s="16"/>
      <c r="B1132" s="34"/>
      <c r="C1132" s="16"/>
      <c r="D1132" s="17"/>
      <c r="E1132" s="17"/>
      <c r="F1132" s="17"/>
      <c r="G1132" s="18"/>
      <c r="H1132" s="17"/>
      <c r="I1132" s="23"/>
      <c r="J1132" s="17"/>
    </row>
    <row r="1133" spans="1:10" x14ac:dyDescent="0.2">
      <c r="A1133" s="16"/>
      <c r="B1133" s="34"/>
      <c r="C1133" s="16"/>
      <c r="D1133" s="17"/>
      <c r="E1133" s="17"/>
      <c r="F1133" s="17"/>
      <c r="G1133" s="18"/>
      <c r="H1133" s="17"/>
      <c r="I1133" s="23"/>
      <c r="J1133" s="17"/>
    </row>
    <row r="1134" spans="1:10" x14ac:dyDescent="0.2">
      <c r="A1134" s="16"/>
      <c r="B1134" s="34"/>
      <c r="C1134" s="16"/>
      <c r="D1134" s="17"/>
      <c r="E1134" s="17"/>
      <c r="F1134" s="17"/>
      <c r="G1134" s="18"/>
      <c r="H1134" s="17"/>
      <c r="I1134" s="23"/>
      <c r="J1134" s="17"/>
    </row>
    <row r="1135" spans="1:10" x14ac:dyDescent="0.2">
      <c r="A1135" s="16"/>
      <c r="B1135" s="34"/>
      <c r="C1135" s="16"/>
      <c r="D1135" s="17"/>
      <c r="E1135" s="17"/>
      <c r="F1135" s="17"/>
      <c r="G1135" s="18"/>
      <c r="H1135" s="17"/>
      <c r="I1135" s="23"/>
      <c r="J1135" s="17"/>
    </row>
    <row r="1136" spans="1:10" x14ac:dyDescent="0.2">
      <c r="A1136" s="16"/>
      <c r="B1136" s="34"/>
      <c r="C1136" s="16"/>
      <c r="D1136" s="17"/>
      <c r="E1136" s="17"/>
      <c r="F1136" s="17"/>
      <c r="G1136" s="18"/>
      <c r="H1136" s="17"/>
      <c r="I1136" s="23"/>
      <c r="J1136" s="17"/>
    </row>
    <row r="1137" spans="1:10" x14ac:dyDescent="0.2">
      <c r="A1137" s="16"/>
      <c r="B1137" s="34"/>
      <c r="C1137" s="16"/>
      <c r="D1137" s="17"/>
      <c r="E1137" s="17"/>
      <c r="F1137" s="17"/>
      <c r="G1137" s="18"/>
      <c r="H1137" s="17"/>
      <c r="I1137" s="23"/>
      <c r="J1137" s="17"/>
    </row>
    <row r="1138" spans="1:10" x14ac:dyDescent="0.2">
      <c r="A1138" s="16"/>
      <c r="B1138" s="34"/>
      <c r="C1138" s="16"/>
      <c r="D1138" s="17"/>
      <c r="E1138" s="17"/>
      <c r="F1138" s="17"/>
      <c r="G1138" s="18"/>
      <c r="H1138" s="17"/>
      <c r="I1138" s="23"/>
      <c r="J1138" s="17"/>
    </row>
    <row r="1139" spans="1:10" x14ac:dyDescent="0.2">
      <c r="A1139" s="16"/>
      <c r="B1139" s="34"/>
      <c r="C1139" s="16"/>
      <c r="D1139" s="17"/>
      <c r="E1139" s="17"/>
      <c r="F1139" s="17"/>
      <c r="G1139" s="18"/>
      <c r="H1139" s="17"/>
      <c r="I1139" s="23"/>
      <c r="J1139" s="17"/>
    </row>
    <row r="1140" spans="1:10" x14ac:dyDescent="0.2">
      <c r="A1140" s="16"/>
      <c r="B1140" s="34"/>
      <c r="C1140" s="16"/>
      <c r="D1140" s="17"/>
      <c r="E1140" s="17"/>
      <c r="F1140" s="17"/>
      <c r="G1140" s="18"/>
      <c r="H1140" s="17"/>
      <c r="I1140" s="23"/>
      <c r="J1140" s="17"/>
    </row>
    <row r="1141" spans="1:10" x14ac:dyDescent="0.2">
      <c r="A1141" s="16"/>
      <c r="B1141" s="34"/>
      <c r="C1141" s="16"/>
      <c r="D1141" s="17"/>
      <c r="E1141" s="17"/>
      <c r="F1141" s="17"/>
      <c r="G1141" s="18"/>
      <c r="H1141" s="17"/>
      <c r="I1141" s="23"/>
      <c r="J1141" s="17"/>
    </row>
    <row r="1142" spans="1:10" x14ac:dyDescent="0.2">
      <c r="A1142" s="16"/>
      <c r="B1142" s="34"/>
      <c r="C1142" s="16"/>
      <c r="D1142" s="17"/>
      <c r="E1142" s="17"/>
      <c r="F1142" s="17"/>
      <c r="G1142" s="18"/>
      <c r="H1142" s="17"/>
      <c r="I1142" s="23"/>
      <c r="J1142" s="17"/>
    </row>
    <row r="1143" spans="1:10" x14ac:dyDescent="0.2">
      <c r="A1143" s="16"/>
      <c r="B1143" s="34"/>
      <c r="C1143" s="16"/>
      <c r="D1143" s="17"/>
      <c r="E1143" s="17"/>
      <c r="F1143" s="17"/>
      <c r="G1143" s="18"/>
      <c r="H1143" s="17"/>
      <c r="I1143" s="23"/>
      <c r="J1143" s="17"/>
    </row>
    <row r="1144" spans="1:10" x14ac:dyDescent="0.2">
      <c r="A1144" s="16"/>
      <c r="B1144" s="34"/>
      <c r="C1144" s="16"/>
      <c r="D1144" s="17"/>
      <c r="E1144" s="17"/>
      <c r="F1144" s="17"/>
      <c r="G1144" s="18"/>
      <c r="H1144" s="17"/>
      <c r="I1144" s="23"/>
      <c r="J1144" s="17"/>
    </row>
    <row r="1145" spans="1:10" x14ac:dyDescent="0.2">
      <c r="A1145" s="16"/>
      <c r="B1145" s="34"/>
      <c r="C1145" s="16"/>
      <c r="D1145" s="17"/>
      <c r="E1145" s="17"/>
      <c r="F1145" s="17"/>
      <c r="G1145" s="18"/>
      <c r="H1145" s="17"/>
      <c r="I1145" s="23"/>
      <c r="J1145" s="17"/>
    </row>
    <row r="1146" spans="1:10" x14ac:dyDescent="0.2">
      <c r="A1146" s="16"/>
      <c r="B1146" s="34"/>
      <c r="C1146" s="16"/>
      <c r="D1146" s="17"/>
      <c r="E1146" s="17"/>
      <c r="F1146" s="17"/>
      <c r="G1146" s="18"/>
      <c r="H1146" s="17"/>
      <c r="I1146" s="23"/>
      <c r="J1146" s="17"/>
    </row>
    <row r="1147" spans="1:10" x14ac:dyDescent="0.2">
      <c r="A1147" s="16"/>
      <c r="B1147" s="34"/>
      <c r="C1147" s="16"/>
      <c r="D1147" s="17"/>
      <c r="E1147" s="17"/>
      <c r="F1147" s="17"/>
      <c r="G1147" s="18"/>
      <c r="H1147" s="17"/>
      <c r="I1147" s="23"/>
      <c r="J1147" s="17"/>
    </row>
    <row r="1148" spans="1:10" x14ac:dyDescent="0.2">
      <c r="A1148" s="16"/>
      <c r="B1148" s="34"/>
      <c r="C1148" s="16"/>
      <c r="D1148" s="17"/>
      <c r="E1148" s="17"/>
      <c r="F1148" s="17"/>
      <c r="G1148" s="18"/>
      <c r="H1148" s="17"/>
      <c r="I1148" s="23"/>
      <c r="J1148" s="17"/>
    </row>
    <row r="1149" spans="1:10" x14ac:dyDescent="0.2">
      <c r="A1149" s="16"/>
      <c r="B1149" s="34"/>
      <c r="C1149" s="16"/>
      <c r="D1149" s="17"/>
      <c r="E1149" s="17"/>
      <c r="F1149" s="17"/>
      <c r="G1149" s="18"/>
      <c r="H1149" s="17"/>
      <c r="I1149" s="23"/>
      <c r="J1149" s="17"/>
    </row>
    <row r="1150" spans="1:10" x14ac:dyDescent="0.2">
      <c r="A1150" s="16"/>
      <c r="B1150" s="34"/>
      <c r="C1150" s="16"/>
      <c r="D1150" s="17"/>
      <c r="E1150" s="17"/>
      <c r="F1150" s="17"/>
      <c r="G1150" s="18"/>
      <c r="H1150" s="17"/>
      <c r="I1150" s="23"/>
      <c r="J1150" s="17"/>
    </row>
    <row r="1151" spans="1:10" x14ac:dyDescent="0.2">
      <c r="A1151" s="16"/>
      <c r="B1151" s="34"/>
      <c r="C1151" s="16"/>
      <c r="D1151" s="17"/>
      <c r="E1151" s="17"/>
      <c r="F1151" s="17"/>
      <c r="G1151" s="18"/>
      <c r="H1151" s="17"/>
      <c r="I1151" s="23"/>
      <c r="J1151" s="17"/>
    </row>
    <row r="1152" spans="1:10" x14ac:dyDescent="0.2">
      <c r="A1152" s="16"/>
      <c r="B1152" s="34"/>
      <c r="C1152" s="16"/>
      <c r="D1152" s="17"/>
      <c r="E1152" s="17"/>
      <c r="F1152" s="17"/>
      <c r="G1152" s="18"/>
      <c r="H1152" s="17"/>
      <c r="I1152" s="23"/>
      <c r="J1152" s="17"/>
    </row>
    <row r="1153" spans="1:10" x14ac:dyDescent="0.2">
      <c r="A1153" s="16"/>
      <c r="B1153" s="34"/>
      <c r="C1153" s="16"/>
      <c r="D1153" s="17"/>
      <c r="E1153" s="17"/>
      <c r="F1153" s="17"/>
      <c r="G1153" s="18"/>
      <c r="H1153" s="17"/>
      <c r="I1153" s="23"/>
      <c r="J1153" s="17"/>
    </row>
    <row r="1154" spans="1:10" x14ac:dyDescent="0.2">
      <c r="A1154" s="16"/>
      <c r="B1154" s="34"/>
      <c r="C1154" s="16"/>
      <c r="D1154" s="17"/>
      <c r="E1154" s="17"/>
      <c r="F1154" s="17"/>
      <c r="G1154" s="18"/>
      <c r="H1154" s="17"/>
      <c r="I1154" s="23"/>
      <c r="J1154" s="17"/>
    </row>
    <row r="1155" spans="1:10" x14ac:dyDescent="0.2">
      <c r="A1155" s="16"/>
      <c r="B1155" s="34"/>
      <c r="C1155" s="16"/>
      <c r="D1155" s="17"/>
      <c r="E1155" s="17"/>
      <c r="F1155" s="17"/>
      <c r="G1155" s="18"/>
      <c r="H1155" s="17"/>
      <c r="I1155" s="23"/>
      <c r="J1155" s="17"/>
    </row>
    <row r="1156" spans="1:10" x14ac:dyDescent="0.2">
      <c r="A1156" s="16"/>
      <c r="B1156" s="34"/>
      <c r="C1156" s="16"/>
      <c r="D1156" s="17"/>
      <c r="E1156" s="17"/>
      <c r="F1156" s="17"/>
      <c r="G1156" s="18"/>
      <c r="H1156" s="17"/>
      <c r="I1156" s="23"/>
      <c r="J1156" s="17"/>
    </row>
    <row r="1157" spans="1:10" x14ac:dyDescent="0.2">
      <c r="A1157" s="16"/>
      <c r="B1157" s="34"/>
      <c r="C1157" s="16"/>
      <c r="D1157" s="17"/>
      <c r="E1157" s="17"/>
      <c r="F1157" s="17"/>
      <c r="G1157" s="18"/>
      <c r="H1157" s="17"/>
      <c r="I1157" s="23"/>
      <c r="J1157" s="17"/>
    </row>
    <row r="1158" spans="1:10" x14ac:dyDescent="0.2">
      <c r="A1158" s="16"/>
      <c r="B1158" s="34"/>
      <c r="C1158" s="16"/>
      <c r="D1158" s="17"/>
      <c r="E1158" s="17"/>
      <c r="F1158" s="17"/>
      <c r="G1158" s="18"/>
      <c r="H1158" s="17"/>
      <c r="I1158" s="23"/>
      <c r="J1158" s="17"/>
    </row>
    <row r="1159" spans="1:10" x14ac:dyDescent="0.2">
      <c r="A1159" s="16"/>
      <c r="B1159" s="34"/>
      <c r="C1159" s="16"/>
      <c r="D1159" s="17"/>
      <c r="E1159" s="17"/>
      <c r="F1159" s="17"/>
      <c r="G1159" s="18"/>
      <c r="H1159" s="17"/>
      <c r="I1159" s="23"/>
      <c r="J1159" s="17"/>
    </row>
    <row r="1160" spans="1:10" x14ac:dyDescent="0.2">
      <c r="A1160" s="16"/>
      <c r="B1160" s="34"/>
      <c r="C1160" s="16"/>
      <c r="D1160" s="17"/>
      <c r="E1160" s="17"/>
      <c r="F1160" s="17"/>
      <c r="G1160" s="18"/>
      <c r="H1160" s="17"/>
      <c r="I1160" s="23"/>
      <c r="J1160" s="17"/>
    </row>
    <row r="1161" spans="1:10" x14ac:dyDescent="0.2">
      <c r="A1161" s="16"/>
      <c r="B1161" s="34"/>
      <c r="C1161" s="16"/>
      <c r="D1161" s="17"/>
      <c r="E1161" s="17"/>
      <c r="F1161" s="17"/>
      <c r="G1161" s="18"/>
      <c r="H1161" s="17"/>
      <c r="I1161" s="23"/>
      <c r="J1161" s="17"/>
    </row>
    <row r="1162" spans="1:10" x14ac:dyDescent="0.2">
      <c r="A1162" s="16"/>
      <c r="B1162" s="34"/>
      <c r="C1162" s="16"/>
      <c r="D1162" s="17"/>
      <c r="E1162" s="17"/>
      <c r="F1162" s="17"/>
      <c r="G1162" s="18"/>
      <c r="H1162" s="17"/>
      <c r="I1162" s="23"/>
      <c r="J1162" s="17"/>
    </row>
    <row r="1163" spans="1:10" x14ac:dyDescent="0.2">
      <c r="A1163" s="16"/>
      <c r="B1163" s="34"/>
      <c r="C1163" s="16"/>
      <c r="D1163" s="17"/>
      <c r="E1163" s="17"/>
      <c r="F1163" s="17"/>
      <c r="G1163" s="18"/>
      <c r="H1163" s="17"/>
      <c r="I1163" s="23"/>
      <c r="J1163" s="17"/>
    </row>
    <row r="1164" spans="1:10" x14ac:dyDescent="0.2">
      <c r="A1164" s="16"/>
      <c r="B1164" s="34"/>
      <c r="C1164" s="16"/>
      <c r="D1164" s="17"/>
      <c r="E1164" s="17"/>
      <c r="F1164" s="17"/>
      <c r="G1164" s="18"/>
      <c r="H1164" s="17"/>
      <c r="I1164" s="23"/>
      <c r="J1164" s="17"/>
    </row>
    <row r="1165" spans="1:10" x14ac:dyDescent="0.2">
      <c r="A1165" s="16"/>
      <c r="B1165" s="34"/>
      <c r="C1165" s="16"/>
      <c r="D1165" s="17"/>
      <c r="E1165" s="17"/>
      <c r="F1165" s="17"/>
      <c r="G1165" s="18"/>
      <c r="H1165" s="17"/>
      <c r="I1165" s="23"/>
      <c r="J1165" s="17"/>
    </row>
    <row r="1166" spans="1:10" x14ac:dyDescent="0.2">
      <c r="A1166" s="16"/>
      <c r="B1166" s="34"/>
      <c r="C1166" s="16"/>
      <c r="D1166" s="17"/>
      <c r="E1166" s="17"/>
      <c r="F1166" s="17"/>
      <c r="G1166" s="18"/>
      <c r="H1166" s="17"/>
      <c r="I1166" s="23"/>
      <c r="J1166" s="17"/>
    </row>
    <row r="1167" spans="1:10" x14ac:dyDescent="0.2">
      <c r="A1167" s="16"/>
      <c r="B1167" s="34"/>
      <c r="C1167" s="16"/>
      <c r="D1167" s="17"/>
      <c r="E1167" s="17"/>
      <c r="F1167" s="17"/>
      <c r="G1167" s="18"/>
      <c r="H1167" s="17"/>
      <c r="I1167" s="23"/>
      <c r="J1167" s="17"/>
    </row>
    <row r="1168" spans="1:10" x14ac:dyDescent="0.2">
      <c r="A1168" s="16"/>
      <c r="B1168" s="34"/>
      <c r="C1168" s="16"/>
      <c r="D1168" s="17"/>
      <c r="E1168" s="17"/>
      <c r="F1168" s="17"/>
      <c r="G1168" s="18"/>
      <c r="H1168" s="17"/>
      <c r="I1168" s="23"/>
      <c r="J1168" s="17"/>
    </row>
    <row r="1169" spans="1:10" x14ac:dyDescent="0.2">
      <c r="A1169" s="16"/>
      <c r="B1169" s="34"/>
      <c r="C1169" s="16"/>
      <c r="D1169" s="17"/>
      <c r="E1169" s="17"/>
      <c r="F1169" s="17"/>
      <c r="G1169" s="18"/>
      <c r="H1169" s="17"/>
      <c r="I1169" s="23"/>
      <c r="J1169" s="17"/>
    </row>
    <row r="1170" spans="1:10" x14ac:dyDescent="0.2">
      <c r="A1170" s="16"/>
      <c r="B1170" s="34"/>
      <c r="C1170" s="16"/>
      <c r="D1170" s="17"/>
      <c r="E1170" s="17"/>
      <c r="F1170" s="17"/>
      <c r="G1170" s="18"/>
      <c r="H1170" s="17"/>
      <c r="I1170" s="23"/>
      <c r="J1170" s="17"/>
    </row>
    <row r="1171" spans="1:10" x14ac:dyDescent="0.2">
      <c r="A1171" s="16"/>
      <c r="B1171" s="34"/>
      <c r="C1171" s="16"/>
      <c r="D1171" s="17"/>
      <c r="E1171" s="17"/>
      <c r="F1171" s="17"/>
      <c r="G1171" s="18"/>
      <c r="H1171" s="17"/>
      <c r="I1171" s="23"/>
      <c r="J1171" s="17"/>
    </row>
    <row r="1172" spans="1:10" x14ac:dyDescent="0.2">
      <c r="A1172" s="16"/>
      <c r="B1172" s="34"/>
      <c r="C1172" s="16"/>
      <c r="D1172" s="17"/>
      <c r="E1172" s="17"/>
      <c r="F1172" s="17"/>
      <c r="G1172" s="18"/>
      <c r="H1172" s="17"/>
      <c r="I1172" s="23"/>
      <c r="J1172" s="17"/>
    </row>
    <row r="1173" spans="1:10" x14ac:dyDescent="0.2">
      <c r="A1173" s="16"/>
      <c r="B1173" s="34"/>
      <c r="C1173" s="16"/>
      <c r="D1173" s="17"/>
      <c r="E1173" s="17"/>
      <c r="F1173" s="17"/>
      <c r="G1173" s="18"/>
      <c r="H1173" s="17"/>
      <c r="I1173" s="23"/>
      <c r="J1173" s="17"/>
    </row>
    <row r="1174" spans="1:10" x14ac:dyDescent="0.2">
      <c r="A1174" s="16"/>
      <c r="B1174" s="34"/>
      <c r="C1174" s="16"/>
      <c r="D1174" s="17"/>
      <c r="E1174" s="17"/>
      <c r="F1174" s="17"/>
      <c r="G1174" s="18"/>
      <c r="H1174" s="17"/>
      <c r="I1174" s="23"/>
      <c r="J1174" s="17"/>
    </row>
    <row r="1175" spans="1:10" x14ac:dyDescent="0.2">
      <c r="A1175" s="16"/>
      <c r="B1175" s="34"/>
      <c r="C1175" s="16"/>
      <c r="D1175" s="17"/>
      <c r="E1175" s="17"/>
      <c r="F1175" s="17"/>
      <c r="G1175" s="18"/>
      <c r="H1175" s="17"/>
      <c r="I1175" s="23"/>
      <c r="J1175" s="17"/>
    </row>
    <row r="1176" spans="1:10" x14ac:dyDescent="0.2">
      <c r="A1176" s="16"/>
      <c r="B1176" s="34"/>
      <c r="C1176" s="16"/>
      <c r="D1176" s="17"/>
      <c r="E1176" s="17"/>
      <c r="F1176" s="17"/>
      <c r="G1176" s="18"/>
      <c r="H1176" s="17"/>
      <c r="I1176" s="23"/>
      <c r="J1176" s="17"/>
    </row>
    <row r="1177" spans="1:10" x14ac:dyDescent="0.2">
      <c r="A1177" s="16"/>
      <c r="B1177" s="34"/>
      <c r="C1177" s="16"/>
      <c r="D1177" s="17"/>
      <c r="E1177" s="17"/>
      <c r="F1177" s="17"/>
      <c r="G1177" s="18"/>
      <c r="H1177" s="17"/>
      <c r="I1177" s="23"/>
      <c r="J1177" s="17"/>
    </row>
    <row r="1178" spans="1:10" x14ac:dyDescent="0.2">
      <c r="A1178" s="16"/>
      <c r="B1178" s="34"/>
      <c r="C1178" s="16"/>
      <c r="D1178" s="17"/>
      <c r="E1178" s="17"/>
      <c r="F1178" s="17"/>
      <c r="G1178" s="18"/>
      <c r="H1178" s="17"/>
      <c r="I1178" s="23"/>
      <c r="J1178" s="17"/>
    </row>
    <row r="1179" spans="1:10" x14ac:dyDescent="0.2">
      <c r="A1179" s="16"/>
      <c r="B1179" s="34"/>
      <c r="C1179" s="16"/>
      <c r="D1179" s="17"/>
      <c r="E1179" s="17"/>
      <c r="F1179" s="17"/>
      <c r="G1179" s="18"/>
      <c r="H1179" s="17"/>
      <c r="I1179" s="23"/>
      <c r="J1179" s="17"/>
    </row>
    <row r="1180" spans="1:10" x14ac:dyDescent="0.2">
      <c r="A1180" s="16"/>
      <c r="B1180" s="34"/>
      <c r="C1180" s="16"/>
      <c r="D1180" s="17"/>
      <c r="E1180" s="17"/>
      <c r="F1180" s="17"/>
      <c r="G1180" s="18"/>
      <c r="H1180" s="17"/>
      <c r="I1180" s="23"/>
      <c r="J1180" s="17"/>
    </row>
    <row r="1181" spans="1:10" x14ac:dyDescent="0.2">
      <c r="A1181" s="16"/>
      <c r="B1181" s="34"/>
      <c r="C1181" s="16"/>
      <c r="D1181" s="17"/>
      <c r="E1181" s="17"/>
      <c r="F1181" s="17"/>
      <c r="G1181" s="18"/>
      <c r="H1181" s="17"/>
      <c r="I1181" s="23"/>
      <c r="J1181" s="17"/>
    </row>
    <row r="1182" spans="1:10" x14ac:dyDescent="0.2">
      <c r="A1182" s="16"/>
      <c r="B1182" s="34"/>
      <c r="C1182" s="16"/>
      <c r="D1182" s="17"/>
      <c r="E1182" s="17"/>
      <c r="F1182" s="17"/>
      <c r="G1182" s="18"/>
      <c r="H1182" s="17"/>
      <c r="I1182" s="23"/>
      <c r="J1182" s="17"/>
    </row>
    <row r="1183" spans="1:10" x14ac:dyDescent="0.2">
      <c r="A1183" s="16"/>
      <c r="B1183" s="34"/>
      <c r="C1183" s="16"/>
      <c r="D1183" s="17"/>
      <c r="E1183" s="17"/>
      <c r="F1183" s="17"/>
      <c r="G1183" s="18"/>
      <c r="H1183" s="17"/>
      <c r="I1183" s="23"/>
      <c r="J1183" s="17"/>
    </row>
    <row r="1184" spans="1:10" x14ac:dyDescent="0.2">
      <c r="A1184" s="16"/>
      <c r="B1184" s="34"/>
      <c r="C1184" s="16"/>
      <c r="D1184" s="17"/>
      <c r="E1184" s="17"/>
      <c r="F1184" s="17"/>
      <c r="G1184" s="18"/>
      <c r="H1184" s="17"/>
      <c r="I1184" s="23"/>
      <c r="J1184" s="17"/>
    </row>
    <row r="1185" spans="1:10" x14ac:dyDescent="0.2">
      <c r="A1185" s="16"/>
      <c r="B1185" s="34"/>
      <c r="C1185" s="16"/>
      <c r="D1185" s="17"/>
      <c r="E1185" s="17"/>
      <c r="F1185" s="17"/>
      <c r="G1185" s="18"/>
      <c r="H1185" s="17"/>
      <c r="I1185" s="23"/>
      <c r="J1185" s="17"/>
    </row>
    <row r="1186" spans="1:10" x14ac:dyDescent="0.2">
      <c r="A1186" s="16"/>
      <c r="B1186" s="34"/>
      <c r="C1186" s="16"/>
      <c r="D1186" s="17"/>
      <c r="E1186" s="17"/>
      <c r="F1186" s="17"/>
      <c r="G1186" s="18"/>
      <c r="H1186" s="17"/>
      <c r="I1186" s="23"/>
      <c r="J1186" s="17"/>
    </row>
    <row r="1187" spans="1:10" x14ac:dyDescent="0.2">
      <c r="A1187" s="16"/>
      <c r="B1187" s="34"/>
      <c r="C1187" s="16"/>
      <c r="D1187" s="17"/>
      <c r="E1187" s="17"/>
      <c r="F1187" s="17"/>
      <c r="G1187" s="18"/>
      <c r="H1187" s="17"/>
      <c r="I1187" s="23"/>
      <c r="J1187" s="17"/>
    </row>
    <row r="1188" spans="1:10" x14ac:dyDescent="0.2">
      <c r="A1188" s="16"/>
      <c r="B1188" s="34"/>
      <c r="C1188" s="16"/>
      <c r="D1188" s="17"/>
      <c r="E1188" s="17"/>
      <c r="F1188" s="17"/>
      <c r="G1188" s="18"/>
      <c r="H1188" s="17"/>
      <c r="I1188" s="23"/>
      <c r="J1188" s="17"/>
    </row>
    <row r="1189" spans="1:10" x14ac:dyDescent="0.2">
      <c r="A1189" s="16"/>
      <c r="B1189" s="34"/>
      <c r="C1189" s="16"/>
      <c r="D1189" s="17"/>
      <c r="E1189" s="17"/>
      <c r="F1189" s="17"/>
      <c r="G1189" s="18"/>
      <c r="H1189" s="17"/>
      <c r="I1189" s="23"/>
      <c r="J1189" s="17"/>
    </row>
    <row r="1190" spans="1:10" x14ac:dyDescent="0.2">
      <c r="A1190" s="16"/>
      <c r="B1190" s="34"/>
      <c r="C1190" s="16"/>
      <c r="D1190" s="17"/>
      <c r="E1190" s="17"/>
      <c r="F1190" s="17"/>
      <c r="G1190" s="18"/>
      <c r="H1190" s="17"/>
      <c r="I1190" s="23"/>
      <c r="J1190" s="17"/>
    </row>
    <row r="1191" spans="1:10" x14ac:dyDescent="0.2">
      <c r="A1191" s="16"/>
      <c r="B1191" s="34"/>
      <c r="C1191" s="16"/>
      <c r="D1191" s="17"/>
      <c r="E1191" s="17"/>
      <c r="F1191" s="17"/>
      <c r="G1191" s="18"/>
      <c r="H1191" s="17"/>
      <c r="I1191" s="23"/>
      <c r="J1191" s="17"/>
    </row>
    <row r="1192" spans="1:10" x14ac:dyDescent="0.2">
      <c r="A1192" s="16"/>
      <c r="B1192" s="34"/>
      <c r="C1192" s="16"/>
      <c r="D1192" s="17"/>
      <c r="E1192" s="17"/>
      <c r="F1192" s="17"/>
      <c r="G1192" s="18"/>
      <c r="H1192" s="17"/>
      <c r="I1192" s="23"/>
      <c r="J1192" s="17"/>
    </row>
    <row r="1193" spans="1:10" x14ac:dyDescent="0.2">
      <c r="A1193" s="16"/>
      <c r="B1193" s="34"/>
      <c r="C1193" s="16"/>
      <c r="D1193" s="17"/>
      <c r="E1193" s="17"/>
      <c r="F1193" s="17"/>
      <c r="G1193" s="18"/>
      <c r="H1193" s="17"/>
      <c r="I1193" s="23"/>
      <c r="J1193" s="17"/>
    </row>
    <row r="1194" spans="1:10" x14ac:dyDescent="0.2">
      <c r="A1194" s="16"/>
      <c r="B1194" s="34"/>
      <c r="C1194" s="16"/>
      <c r="D1194" s="17"/>
      <c r="E1194" s="17"/>
      <c r="F1194" s="17"/>
      <c r="G1194" s="18"/>
      <c r="H1194" s="17"/>
      <c r="I1194" s="23"/>
      <c r="J1194" s="17"/>
    </row>
    <row r="1195" spans="1:10" x14ac:dyDescent="0.2">
      <c r="A1195" s="16"/>
      <c r="B1195" s="34"/>
      <c r="C1195" s="16"/>
      <c r="D1195" s="17"/>
      <c r="E1195" s="17"/>
      <c r="F1195" s="17"/>
      <c r="G1195" s="18"/>
      <c r="H1195" s="17"/>
      <c r="I1195" s="23"/>
      <c r="J1195" s="17"/>
    </row>
    <row r="1196" spans="1:10" x14ac:dyDescent="0.2">
      <c r="A1196" s="16"/>
      <c r="B1196" s="34"/>
      <c r="C1196" s="16"/>
      <c r="D1196" s="17"/>
      <c r="E1196" s="17"/>
      <c r="F1196" s="17"/>
      <c r="G1196" s="18"/>
      <c r="H1196" s="17"/>
      <c r="I1196" s="23"/>
      <c r="J1196" s="17"/>
    </row>
    <row r="1197" spans="1:10" x14ac:dyDescent="0.2">
      <c r="A1197" s="16"/>
      <c r="B1197" s="34"/>
      <c r="C1197" s="16"/>
      <c r="D1197" s="17"/>
      <c r="E1197" s="17"/>
      <c r="F1197" s="17"/>
      <c r="G1197" s="18"/>
      <c r="H1197" s="17"/>
      <c r="I1197" s="23"/>
      <c r="J1197" s="17"/>
    </row>
    <row r="1198" spans="1:10" x14ac:dyDescent="0.2">
      <c r="A1198" s="16"/>
      <c r="B1198" s="34"/>
      <c r="C1198" s="16"/>
      <c r="D1198" s="17"/>
      <c r="E1198" s="17"/>
      <c r="F1198" s="17"/>
      <c r="G1198" s="18"/>
      <c r="H1198" s="17"/>
      <c r="I1198" s="23"/>
      <c r="J1198" s="17"/>
    </row>
    <row r="1199" spans="1:10" x14ac:dyDescent="0.2">
      <c r="A1199" s="16"/>
      <c r="B1199" s="34"/>
      <c r="C1199" s="16"/>
      <c r="D1199" s="17"/>
      <c r="E1199" s="17"/>
      <c r="F1199" s="17"/>
      <c r="G1199" s="18"/>
      <c r="H1199" s="17"/>
      <c r="I1199" s="23"/>
      <c r="J1199" s="17"/>
    </row>
    <row r="1200" spans="1:10" x14ac:dyDescent="0.2">
      <c r="A1200" s="16"/>
      <c r="B1200" s="34"/>
      <c r="C1200" s="16"/>
      <c r="D1200" s="17"/>
      <c r="E1200" s="17"/>
      <c r="F1200" s="17"/>
      <c r="G1200" s="18"/>
      <c r="H1200" s="17"/>
      <c r="I1200" s="23"/>
      <c r="J1200" s="17"/>
    </row>
    <row r="1201" spans="1:10" x14ac:dyDescent="0.2">
      <c r="A1201" s="16"/>
      <c r="B1201" s="34"/>
      <c r="C1201" s="16"/>
      <c r="D1201" s="17"/>
      <c r="E1201" s="17"/>
      <c r="F1201" s="17"/>
      <c r="G1201" s="18"/>
      <c r="H1201" s="17"/>
      <c r="I1201" s="23"/>
      <c r="J1201" s="17"/>
    </row>
    <row r="1202" spans="1:10" x14ac:dyDescent="0.2">
      <c r="A1202" s="16"/>
      <c r="B1202" s="34"/>
      <c r="C1202" s="16"/>
      <c r="D1202" s="17"/>
      <c r="E1202" s="17"/>
      <c r="F1202" s="17"/>
      <c r="G1202" s="18"/>
      <c r="H1202" s="17"/>
      <c r="I1202" s="23"/>
      <c r="J1202" s="17"/>
    </row>
    <row r="1203" spans="1:10" x14ac:dyDescent="0.2">
      <c r="A1203" s="16"/>
      <c r="B1203" s="34"/>
      <c r="C1203" s="16"/>
      <c r="D1203" s="17"/>
      <c r="E1203" s="17"/>
      <c r="F1203" s="17"/>
      <c r="G1203" s="18"/>
      <c r="H1203" s="17"/>
      <c r="I1203" s="23"/>
      <c r="J1203" s="17"/>
    </row>
    <row r="1204" spans="1:10" x14ac:dyDescent="0.2">
      <c r="A1204" s="16"/>
      <c r="B1204" s="34"/>
      <c r="C1204" s="16"/>
      <c r="D1204" s="17"/>
      <c r="E1204" s="17"/>
      <c r="F1204" s="17"/>
      <c r="G1204" s="18"/>
      <c r="H1204" s="17"/>
      <c r="I1204" s="23"/>
      <c r="J1204" s="17"/>
    </row>
    <row r="1205" spans="1:10" x14ac:dyDescent="0.2">
      <c r="A1205" s="16"/>
      <c r="B1205" s="34"/>
      <c r="C1205" s="16"/>
      <c r="D1205" s="17"/>
      <c r="E1205" s="17"/>
      <c r="F1205" s="17"/>
      <c r="G1205" s="18"/>
      <c r="H1205" s="17"/>
      <c r="I1205" s="23"/>
      <c r="J1205" s="17"/>
    </row>
    <row r="1206" spans="1:10" x14ac:dyDescent="0.2">
      <c r="A1206" s="16"/>
      <c r="B1206" s="34"/>
      <c r="C1206" s="16"/>
      <c r="D1206" s="17"/>
      <c r="E1206" s="17"/>
      <c r="F1206" s="17"/>
      <c r="G1206" s="18"/>
      <c r="H1206" s="17"/>
      <c r="I1206" s="23"/>
      <c r="J1206" s="17"/>
    </row>
    <row r="1207" spans="1:10" x14ac:dyDescent="0.2">
      <c r="A1207" s="16"/>
      <c r="B1207" s="34"/>
      <c r="C1207" s="16"/>
      <c r="D1207" s="17"/>
      <c r="E1207" s="17"/>
      <c r="F1207" s="17"/>
      <c r="G1207" s="18"/>
      <c r="H1207" s="17"/>
      <c r="I1207" s="23"/>
      <c r="J1207" s="17"/>
    </row>
    <row r="1208" spans="1:10" x14ac:dyDescent="0.2">
      <c r="A1208" s="16"/>
      <c r="B1208" s="34"/>
      <c r="C1208" s="16"/>
      <c r="D1208" s="17"/>
      <c r="E1208" s="17"/>
      <c r="F1208" s="17"/>
      <c r="G1208" s="18"/>
      <c r="H1208" s="17"/>
      <c r="I1208" s="23"/>
      <c r="J1208" s="17"/>
    </row>
    <row r="1209" spans="1:10" x14ac:dyDescent="0.2">
      <c r="A1209" s="16"/>
      <c r="B1209" s="34"/>
      <c r="C1209" s="16"/>
      <c r="D1209" s="17"/>
      <c r="E1209" s="17"/>
      <c r="F1209" s="17"/>
      <c r="G1209" s="18"/>
      <c r="H1209" s="17"/>
      <c r="I1209" s="23"/>
      <c r="J1209" s="17"/>
    </row>
    <row r="1210" spans="1:10" x14ac:dyDescent="0.2">
      <c r="A1210" s="16"/>
      <c r="B1210" s="34"/>
      <c r="C1210" s="16"/>
      <c r="D1210" s="17"/>
      <c r="E1210" s="17"/>
      <c r="F1210" s="17"/>
      <c r="G1210" s="18"/>
      <c r="H1210" s="17"/>
      <c r="I1210" s="23"/>
      <c r="J1210" s="17"/>
    </row>
    <row r="1211" spans="1:10" x14ac:dyDescent="0.2">
      <c r="A1211" s="16"/>
      <c r="B1211" s="34"/>
      <c r="C1211" s="16"/>
      <c r="D1211" s="17"/>
      <c r="E1211" s="17"/>
      <c r="F1211" s="17"/>
      <c r="G1211" s="18"/>
      <c r="H1211" s="17"/>
      <c r="I1211" s="23"/>
      <c r="J1211" s="17"/>
    </row>
    <row r="1212" spans="1:10" x14ac:dyDescent="0.2">
      <c r="A1212" s="16"/>
      <c r="B1212" s="34"/>
      <c r="C1212" s="16"/>
      <c r="D1212" s="17"/>
      <c r="E1212" s="17"/>
      <c r="F1212" s="17"/>
      <c r="G1212" s="18"/>
      <c r="H1212" s="17"/>
      <c r="I1212" s="23"/>
      <c r="J1212" s="17"/>
    </row>
    <row r="1213" spans="1:10" x14ac:dyDescent="0.2">
      <c r="A1213" s="16"/>
      <c r="B1213" s="34"/>
      <c r="C1213" s="16"/>
      <c r="D1213" s="17"/>
      <c r="E1213" s="17"/>
      <c r="F1213" s="17"/>
      <c r="G1213" s="18"/>
      <c r="H1213" s="17"/>
      <c r="I1213" s="23"/>
      <c r="J1213" s="17"/>
    </row>
    <row r="1214" spans="1:10" x14ac:dyDescent="0.2">
      <c r="A1214" s="16"/>
      <c r="B1214" s="34"/>
      <c r="C1214" s="16"/>
      <c r="D1214" s="17"/>
      <c r="E1214" s="17"/>
      <c r="F1214" s="17"/>
      <c r="G1214" s="18"/>
      <c r="H1214" s="17"/>
      <c r="I1214" s="23"/>
      <c r="J1214" s="17"/>
    </row>
    <row r="1215" spans="1:10" x14ac:dyDescent="0.2">
      <c r="A1215" s="16"/>
      <c r="B1215" s="34"/>
      <c r="C1215" s="16"/>
      <c r="D1215" s="17"/>
      <c r="E1215" s="17"/>
      <c r="F1215" s="17"/>
      <c r="G1215" s="18"/>
      <c r="H1215" s="17"/>
      <c r="I1215" s="23"/>
      <c r="J1215" s="17"/>
    </row>
    <row r="1216" spans="1:10" x14ac:dyDescent="0.2">
      <c r="A1216" s="16"/>
      <c r="B1216" s="34"/>
      <c r="C1216" s="16"/>
      <c r="D1216" s="17"/>
      <c r="E1216" s="17"/>
      <c r="F1216" s="17"/>
      <c r="G1216" s="18"/>
      <c r="H1216" s="17"/>
      <c r="I1216" s="23"/>
      <c r="J1216" s="17"/>
    </row>
    <row r="1217" spans="1:10" x14ac:dyDescent="0.2">
      <c r="A1217" s="16"/>
      <c r="B1217" s="34"/>
      <c r="C1217" s="16"/>
      <c r="D1217" s="17"/>
      <c r="E1217" s="17"/>
      <c r="F1217" s="17"/>
      <c r="G1217" s="18"/>
      <c r="H1217" s="17"/>
      <c r="I1217" s="23"/>
      <c r="J1217" s="17"/>
    </row>
    <row r="1218" spans="1:10" x14ac:dyDescent="0.2">
      <c r="A1218" s="16"/>
      <c r="B1218" s="34"/>
      <c r="C1218" s="16"/>
      <c r="D1218" s="17"/>
      <c r="E1218" s="17"/>
      <c r="F1218" s="17"/>
      <c r="G1218" s="18"/>
      <c r="H1218" s="17"/>
      <c r="I1218" s="23"/>
      <c r="J1218" s="17"/>
    </row>
    <row r="1219" spans="1:10" x14ac:dyDescent="0.2">
      <c r="A1219" s="16"/>
      <c r="B1219" s="34"/>
      <c r="C1219" s="16"/>
      <c r="D1219" s="17"/>
      <c r="E1219" s="17"/>
      <c r="F1219" s="17"/>
      <c r="G1219" s="18"/>
      <c r="H1219" s="17"/>
      <c r="I1219" s="23"/>
      <c r="J1219" s="17"/>
    </row>
    <row r="1220" spans="1:10" x14ac:dyDescent="0.2">
      <c r="A1220" s="16"/>
      <c r="B1220" s="34"/>
      <c r="C1220" s="16"/>
      <c r="D1220" s="17"/>
      <c r="E1220" s="17"/>
      <c r="F1220" s="17"/>
      <c r="G1220" s="18"/>
      <c r="H1220" s="17"/>
      <c r="I1220" s="23"/>
      <c r="J1220" s="17"/>
    </row>
    <row r="1221" spans="1:10" x14ac:dyDescent="0.2">
      <c r="A1221" s="16"/>
      <c r="B1221" s="34"/>
      <c r="C1221" s="16"/>
      <c r="D1221" s="17"/>
      <c r="E1221" s="17"/>
      <c r="F1221" s="17"/>
      <c r="G1221" s="18"/>
      <c r="H1221" s="17"/>
      <c r="I1221" s="23"/>
      <c r="J1221" s="17"/>
    </row>
    <row r="1222" spans="1:10" x14ac:dyDescent="0.2">
      <c r="A1222" s="16"/>
      <c r="B1222" s="34"/>
      <c r="C1222" s="16"/>
      <c r="D1222" s="17"/>
      <c r="E1222" s="17"/>
      <c r="F1222" s="17"/>
      <c r="G1222" s="18"/>
      <c r="H1222" s="17"/>
      <c r="I1222" s="23"/>
      <c r="J1222" s="17"/>
    </row>
    <row r="1223" spans="1:10" x14ac:dyDescent="0.2">
      <c r="A1223" s="16"/>
      <c r="B1223" s="34"/>
      <c r="C1223" s="16"/>
      <c r="D1223" s="17"/>
      <c r="E1223" s="17"/>
      <c r="F1223" s="17"/>
      <c r="G1223" s="18"/>
      <c r="H1223" s="17"/>
      <c r="I1223" s="23"/>
      <c r="J1223" s="17"/>
    </row>
    <row r="1224" spans="1:10" x14ac:dyDescent="0.2">
      <c r="A1224" s="16"/>
      <c r="B1224" s="34"/>
      <c r="C1224" s="16"/>
      <c r="D1224" s="17"/>
      <c r="E1224" s="17"/>
      <c r="F1224" s="17"/>
      <c r="G1224" s="18"/>
      <c r="H1224" s="17"/>
      <c r="I1224" s="23"/>
      <c r="J1224" s="17"/>
    </row>
    <row r="1225" spans="1:10" x14ac:dyDescent="0.2">
      <c r="A1225" s="16"/>
      <c r="B1225" s="34"/>
      <c r="C1225" s="16"/>
      <c r="D1225" s="17"/>
      <c r="E1225" s="17"/>
      <c r="F1225" s="17"/>
      <c r="G1225" s="18"/>
      <c r="H1225" s="17"/>
      <c r="I1225" s="23"/>
      <c r="J1225" s="17"/>
    </row>
    <row r="1226" spans="1:10" x14ac:dyDescent="0.2">
      <c r="A1226" s="16"/>
      <c r="B1226" s="34"/>
      <c r="C1226" s="16"/>
      <c r="D1226" s="17"/>
      <c r="E1226" s="17"/>
      <c r="F1226" s="17"/>
      <c r="G1226" s="18"/>
      <c r="H1226" s="17"/>
      <c r="I1226" s="23"/>
      <c r="J1226" s="17"/>
    </row>
    <row r="1227" spans="1:10" x14ac:dyDescent="0.2">
      <c r="A1227" s="16"/>
      <c r="B1227" s="34"/>
      <c r="C1227" s="16"/>
      <c r="D1227" s="17"/>
      <c r="E1227" s="17"/>
      <c r="F1227" s="17"/>
      <c r="G1227" s="18"/>
      <c r="H1227" s="17"/>
      <c r="I1227" s="23"/>
      <c r="J1227" s="17"/>
    </row>
    <row r="1228" spans="1:10" x14ac:dyDescent="0.2">
      <c r="A1228" s="16"/>
      <c r="B1228" s="34"/>
      <c r="C1228" s="16"/>
      <c r="D1228" s="17"/>
      <c r="E1228" s="17"/>
      <c r="F1228" s="17"/>
      <c r="G1228" s="18"/>
      <c r="H1228" s="17"/>
      <c r="I1228" s="23"/>
      <c r="J1228" s="17"/>
    </row>
    <row r="1229" spans="1:10" x14ac:dyDescent="0.2">
      <c r="A1229" s="16"/>
      <c r="B1229" s="34"/>
      <c r="C1229" s="16"/>
      <c r="D1229" s="17"/>
      <c r="E1229" s="17"/>
      <c r="F1229" s="17"/>
      <c r="G1229" s="18"/>
      <c r="H1229" s="17"/>
      <c r="I1229" s="23"/>
      <c r="J1229" s="17"/>
    </row>
    <row r="1230" spans="1:10" x14ac:dyDescent="0.2">
      <c r="A1230" s="16"/>
      <c r="B1230" s="34"/>
      <c r="C1230" s="16"/>
      <c r="D1230" s="17"/>
      <c r="E1230" s="17"/>
      <c r="F1230" s="17"/>
      <c r="G1230" s="18"/>
      <c r="H1230" s="17"/>
      <c r="I1230" s="23"/>
      <c r="J1230" s="17"/>
    </row>
    <row r="1231" spans="1:10" x14ac:dyDescent="0.2">
      <c r="A1231" s="16"/>
      <c r="B1231" s="34"/>
      <c r="C1231" s="16"/>
      <c r="D1231" s="17"/>
      <c r="E1231" s="17"/>
      <c r="F1231" s="17"/>
      <c r="G1231" s="18"/>
      <c r="H1231" s="17"/>
      <c r="I1231" s="23"/>
      <c r="J1231" s="17"/>
    </row>
    <row r="1232" spans="1:10" x14ac:dyDescent="0.2">
      <c r="A1232" s="16"/>
      <c r="B1232" s="34"/>
      <c r="C1232" s="16"/>
      <c r="D1232" s="17"/>
      <c r="E1232" s="17"/>
      <c r="F1232" s="17"/>
      <c r="G1232" s="18"/>
      <c r="H1232" s="17"/>
      <c r="I1232" s="23"/>
      <c r="J1232" s="17"/>
    </row>
    <row r="1233" spans="1:10" x14ac:dyDescent="0.2">
      <c r="A1233" s="16"/>
      <c r="B1233" s="34"/>
      <c r="C1233" s="16"/>
      <c r="D1233" s="17"/>
      <c r="E1233" s="17"/>
      <c r="F1233" s="17"/>
      <c r="G1233" s="18"/>
      <c r="H1233" s="17"/>
      <c r="I1233" s="23"/>
      <c r="J1233" s="17"/>
    </row>
    <row r="1234" spans="1:10" x14ac:dyDescent="0.2">
      <c r="A1234" s="16"/>
      <c r="B1234" s="34"/>
      <c r="C1234" s="16"/>
      <c r="D1234" s="17"/>
      <c r="E1234" s="17"/>
      <c r="F1234" s="17"/>
      <c r="G1234" s="18"/>
      <c r="H1234" s="17"/>
      <c r="I1234" s="23"/>
      <c r="J1234" s="17"/>
    </row>
    <row r="1235" spans="1:10" x14ac:dyDescent="0.2">
      <c r="A1235" s="16"/>
      <c r="B1235" s="34"/>
      <c r="C1235" s="16"/>
      <c r="D1235" s="17"/>
      <c r="E1235" s="17"/>
      <c r="F1235" s="17"/>
      <c r="G1235" s="18"/>
      <c r="H1235" s="17"/>
      <c r="I1235" s="23"/>
      <c r="J1235" s="17"/>
    </row>
    <row r="1236" spans="1:10" x14ac:dyDescent="0.2">
      <c r="A1236" s="16"/>
      <c r="B1236" s="34"/>
      <c r="C1236" s="16"/>
      <c r="D1236" s="17"/>
      <c r="E1236" s="17"/>
      <c r="F1236" s="17"/>
      <c r="G1236" s="18"/>
      <c r="H1236" s="17"/>
      <c r="I1236" s="23"/>
      <c r="J1236" s="17"/>
    </row>
    <row r="1237" spans="1:10" x14ac:dyDescent="0.2">
      <c r="A1237" s="16"/>
      <c r="B1237" s="34"/>
      <c r="C1237" s="16"/>
      <c r="D1237" s="17"/>
      <c r="E1237" s="17"/>
      <c r="F1237" s="17"/>
      <c r="G1237" s="18"/>
      <c r="H1237" s="17"/>
      <c r="I1237" s="23"/>
      <c r="J1237" s="17"/>
    </row>
    <row r="1238" spans="1:10" x14ac:dyDescent="0.2">
      <c r="A1238" s="16"/>
      <c r="B1238" s="34"/>
      <c r="C1238" s="16"/>
      <c r="D1238" s="17"/>
      <c r="E1238" s="17"/>
      <c r="F1238" s="17"/>
      <c r="G1238" s="18"/>
      <c r="H1238" s="17"/>
      <c r="I1238" s="23"/>
      <c r="J1238" s="17"/>
    </row>
    <row r="1239" spans="1:10" x14ac:dyDescent="0.2">
      <c r="A1239" s="16"/>
      <c r="B1239" s="34"/>
      <c r="C1239" s="16"/>
      <c r="D1239" s="17"/>
      <c r="E1239" s="17"/>
      <c r="F1239" s="17"/>
      <c r="G1239" s="18"/>
      <c r="H1239" s="17"/>
      <c r="I1239" s="23"/>
      <c r="J1239" s="17"/>
    </row>
    <row r="1240" spans="1:10" x14ac:dyDescent="0.2">
      <c r="A1240" s="16"/>
      <c r="B1240" s="34"/>
      <c r="C1240" s="16"/>
      <c r="D1240" s="17"/>
      <c r="E1240" s="17"/>
      <c r="F1240" s="17"/>
      <c r="G1240" s="18"/>
      <c r="H1240" s="17"/>
      <c r="I1240" s="23"/>
      <c r="J1240" s="17"/>
    </row>
    <row r="1241" spans="1:10" x14ac:dyDescent="0.2">
      <c r="A1241" s="16"/>
      <c r="B1241" s="34"/>
      <c r="C1241" s="16"/>
      <c r="D1241" s="17"/>
      <c r="E1241" s="17"/>
      <c r="F1241" s="17"/>
      <c r="G1241" s="18"/>
      <c r="H1241" s="17"/>
      <c r="I1241" s="23"/>
      <c r="J1241" s="17"/>
    </row>
    <row r="1242" spans="1:10" x14ac:dyDescent="0.2">
      <c r="A1242" s="16"/>
      <c r="B1242" s="34"/>
      <c r="C1242" s="16"/>
      <c r="D1242" s="17"/>
      <c r="E1242" s="17"/>
      <c r="F1242" s="17"/>
      <c r="G1242" s="18"/>
      <c r="H1242" s="17"/>
      <c r="I1242" s="23"/>
      <c r="J1242" s="17"/>
    </row>
    <row r="1243" spans="1:10" x14ac:dyDescent="0.2">
      <c r="A1243" s="16"/>
      <c r="B1243" s="34"/>
      <c r="C1243" s="16"/>
      <c r="D1243" s="17"/>
      <c r="E1243" s="17"/>
      <c r="F1243" s="17"/>
      <c r="G1243" s="18"/>
      <c r="H1243" s="17"/>
      <c r="I1243" s="23"/>
      <c r="J1243" s="17"/>
    </row>
    <row r="1244" spans="1:10" x14ac:dyDescent="0.2">
      <c r="A1244" s="16"/>
      <c r="B1244" s="34"/>
      <c r="C1244" s="16"/>
      <c r="D1244" s="17"/>
      <c r="E1244" s="17"/>
      <c r="F1244" s="17"/>
      <c r="G1244" s="18"/>
      <c r="H1244" s="17"/>
      <c r="I1244" s="23"/>
      <c r="J1244" s="17"/>
    </row>
    <row r="1245" spans="1:10" x14ac:dyDescent="0.2">
      <c r="A1245" s="16"/>
      <c r="B1245" s="34"/>
      <c r="C1245" s="16"/>
      <c r="D1245" s="17"/>
      <c r="E1245" s="17"/>
      <c r="F1245" s="17"/>
      <c r="G1245" s="18"/>
      <c r="H1245" s="17"/>
      <c r="I1245" s="23"/>
      <c r="J1245" s="17"/>
    </row>
    <row r="1246" spans="1:10" x14ac:dyDescent="0.2">
      <c r="A1246" s="16"/>
      <c r="B1246" s="34"/>
      <c r="C1246" s="16"/>
      <c r="D1246" s="17"/>
      <c r="E1246" s="17"/>
      <c r="F1246" s="17"/>
      <c r="G1246" s="18"/>
      <c r="H1246" s="17"/>
      <c r="I1246" s="23"/>
      <c r="J1246" s="17"/>
    </row>
    <row r="1247" spans="1:10" x14ac:dyDescent="0.2">
      <c r="A1247" s="16"/>
      <c r="B1247" s="34"/>
      <c r="C1247" s="16"/>
      <c r="D1247" s="17"/>
      <c r="E1247" s="17"/>
      <c r="F1247" s="17"/>
      <c r="G1247" s="18"/>
      <c r="H1247" s="17"/>
      <c r="I1247" s="23"/>
      <c r="J1247" s="17"/>
    </row>
    <row r="1248" spans="1:10" x14ac:dyDescent="0.2">
      <c r="A1248" s="16"/>
      <c r="B1248" s="34"/>
      <c r="C1248" s="16"/>
      <c r="D1248" s="17"/>
      <c r="E1248" s="17"/>
      <c r="F1248" s="17"/>
      <c r="G1248" s="18"/>
      <c r="H1248" s="17"/>
      <c r="I1248" s="23"/>
      <c r="J1248" s="17"/>
    </row>
    <row r="1249" spans="1:10" x14ac:dyDescent="0.2">
      <c r="A1249" s="16"/>
      <c r="B1249" s="34"/>
      <c r="C1249" s="16"/>
      <c r="D1249" s="17"/>
      <c r="E1249" s="17"/>
      <c r="F1249" s="17"/>
      <c r="G1249" s="18"/>
      <c r="H1249" s="17"/>
      <c r="I1249" s="23"/>
      <c r="J1249" s="17"/>
    </row>
    <row r="1250" spans="1:10" x14ac:dyDescent="0.2">
      <c r="A1250" s="16"/>
      <c r="B1250" s="34"/>
      <c r="C1250" s="16"/>
      <c r="D1250" s="17"/>
      <c r="E1250" s="17"/>
      <c r="F1250" s="17"/>
      <c r="G1250" s="18"/>
      <c r="H1250" s="17"/>
      <c r="I1250" s="23"/>
      <c r="J1250" s="17"/>
    </row>
    <row r="1251" spans="1:10" x14ac:dyDescent="0.2">
      <c r="A1251" s="16"/>
      <c r="B1251" s="34"/>
      <c r="C1251" s="16"/>
      <c r="D1251" s="17"/>
      <c r="E1251" s="17"/>
      <c r="F1251" s="17"/>
      <c r="G1251" s="18"/>
      <c r="H1251" s="17"/>
      <c r="I1251" s="23"/>
      <c r="J1251" s="17"/>
    </row>
    <row r="1252" spans="1:10" x14ac:dyDescent="0.2">
      <c r="A1252" s="16"/>
      <c r="B1252" s="34"/>
      <c r="C1252" s="16"/>
      <c r="D1252" s="17"/>
      <c r="E1252" s="17"/>
      <c r="F1252" s="17"/>
      <c r="G1252" s="18"/>
      <c r="H1252" s="17"/>
      <c r="I1252" s="23"/>
      <c r="J1252" s="17"/>
    </row>
    <row r="1253" spans="1:10" x14ac:dyDescent="0.2">
      <c r="A1253" s="16"/>
      <c r="B1253" s="34"/>
      <c r="C1253" s="16"/>
      <c r="D1253" s="17"/>
      <c r="E1253" s="17"/>
      <c r="F1253" s="17"/>
      <c r="G1253" s="18"/>
      <c r="H1253" s="17"/>
      <c r="I1253" s="23"/>
      <c r="J1253" s="17"/>
    </row>
    <row r="1254" spans="1:10" x14ac:dyDescent="0.2">
      <c r="A1254" s="16"/>
      <c r="B1254" s="34"/>
      <c r="C1254" s="16"/>
      <c r="D1254" s="17"/>
      <c r="E1254" s="17"/>
      <c r="F1254" s="17"/>
      <c r="G1254" s="18"/>
      <c r="H1254" s="17"/>
      <c r="I1254" s="23"/>
      <c r="J1254" s="17"/>
    </row>
    <row r="1255" spans="1:10" x14ac:dyDescent="0.2">
      <c r="A1255" s="16"/>
      <c r="B1255" s="34"/>
      <c r="C1255" s="16"/>
      <c r="D1255" s="17"/>
      <c r="E1255" s="17"/>
      <c r="F1255" s="17"/>
      <c r="G1255" s="18"/>
      <c r="H1255" s="17"/>
      <c r="I1255" s="23"/>
      <c r="J1255" s="17"/>
    </row>
    <row r="1256" spans="1:10" x14ac:dyDescent="0.2">
      <c r="A1256" s="16"/>
      <c r="B1256" s="34"/>
      <c r="C1256" s="16"/>
      <c r="D1256" s="17"/>
      <c r="E1256" s="17"/>
      <c r="F1256" s="17"/>
      <c r="G1256" s="18"/>
      <c r="H1256" s="17"/>
      <c r="I1256" s="23"/>
      <c r="J1256" s="17"/>
    </row>
    <row r="1257" spans="1:10" x14ac:dyDescent="0.2">
      <c r="A1257" s="16"/>
      <c r="B1257" s="34"/>
      <c r="C1257" s="16"/>
      <c r="D1257" s="17"/>
      <c r="E1257" s="17"/>
      <c r="F1257" s="17"/>
      <c r="G1257" s="18"/>
      <c r="H1257" s="17"/>
      <c r="I1257" s="23"/>
      <c r="J1257" s="17"/>
    </row>
    <row r="1258" spans="1:10" x14ac:dyDescent="0.2">
      <c r="A1258" s="16"/>
      <c r="B1258" s="34"/>
      <c r="C1258" s="16"/>
      <c r="D1258" s="17"/>
      <c r="E1258" s="17"/>
      <c r="F1258" s="17"/>
      <c r="G1258" s="18"/>
      <c r="H1258" s="17"/>
      <c r="I1258" s="23"/>
      <c r="J1258" s="17"/>
    </row>
    <row r="1259" spans="1:10" x14ac:dyDescent="0.2">
      <c r="A1259" s="16"/>
      <c r="B1259" s="34"/>
      <c r="C1259" s="16"/>
      <c r="D1259" s="17"/>
      <c r="E1259" s="17"/>
      <c r="F1259" s="17"/>
      <c r="G1259" s="18"/>
      <c r="H1259" s="17"/>
      <c r="I1259" s="23"/>
      <c r="J1259" s="17"/>
    </row>
    <row r="1260" spans="1:10" x14ac:dyDescent="0.2">
      <c r="A1260" s="16"/>
      <c r="B1260" s="34"/>
      <c r="C1260" s="16"/>
      <c r="D1260" s="17"/>
      <c r="E1260" s="17"/>
      <c r="F1260" s="17"/>
      <c r="G1260" s="18"/>
      <c r="H1260" s="17"/>
      <c r="I1260" s="23"/>
      <c r="J1260" s="17"/>
    </row>
    <row r="1261" spans="1:10" x14ac:dyDescent="0.2">
      <c r="A1261" s="16"/>
      <c r="B1261" s="34"/>
      <c r="C1261" s="16"/>
      <c r="D1261" s="17"/>
      <c r="E1261" s="17"/>
      <c r="F1261" s="17"/>
      <c r="G1261" s="18"/>
      <c r="H1261" s="17"/>
      <c r="I1261" s="23"/>
      <c r="J1261" s="17"/>
    </row>
    <row r="1262" spans="1:10" x14ac:dyDescent="0.2">
      <c r="A1262" s="16"/>
      <c r="B1262" s="34"/>
      <c r="C1262" s="16"/>
      <c r="D1262" s="17"/>
      <c r="E1262" s="17"/>
      <c r="F1262" s="17"/>
      <c r="G1262" s="18"/>
      <c r="H1262" s="17"/>
      <c r="I1262" s="23"/>
      <c r="J1262" s="17"/>
    </row>
    <row r="1263" spans="1:10" x14ac:dyDescent="0.2">
      <c r="A1263" s="16"/>
      <c r="B1263" s="34"/>
      <c r="C1263" s="16"/>
      <c r="D1263" s="17"/>
      <c r="E1263" s="17"/>
      <c r="F1263" s="17"/>
      <c r="G1263" s="18"/>
      <c r="H1263" s="17"/>
      <c r="I1263" s="23"/>
      <c r="J1263" s="17"/>
    </row>
    <row r="1264" spans="1:10" x14ac:dyDescent="0.2">
      <c r="A1264" s="16"/>
      <c r="B1264" s="34"/>
      <c r="C1264" s="16"/>
      <c r="D1264" s="17"/>
      <c r="E1264" s="17"/>
      <c r="F1264" s="17"/>
      <c r="G1264" s="18"/>
      <c r="H1264" s="17"/>
      <c r="I1264" s="23"/>
      <c r="J1264" s="17"/>
    </row>
    <row r="1265" spans="1:10" x14ac:dyDescent="0.2">
      <c r="A1265" s="16"/>
      <c r="B1265" s="34"/>
      <c r="C1265" s="16"/>
      <c r="D1265" s="17"/>
      <c r="E1265" s="17"/>
      <c r="F1265" s="17"/>
      <c r="G1265" s="18"/>
      <c r="H1265" s="17"/>
      <c r="I1265" s="23"/>
      <c r="J1265" s="17"/>
    </row>
    <row r="1266" spans="1:10" x14ac:dyDescent="0.2">
      <c r="A1266" s="16"/>
      <c r="B1266" s="34"/>
      <c r="C1266" s="16"/>
      <c r="D1266" s="17"/>
      <c r="E1266" s="17"/>
      <c r="F1266" s="17"/>
      <c r="G1266" s="18"/>
      <c r="H1266" s="17"/>
      <c r="I1266" s="23"/>
      <c r="J1266" s="17"/>
    </row>
    <row r="1267" spans="1:10" x14ac:dyDescent="0.2">
      <c r="A1267" s="16"/>
      <c r="B1267" s="34"/>
      <c r="C1267" s="16"/>
      <c r="D1267" s="17"/>
      <c r="E1267" s="17"/>
      <c r="F1267" s="17"/>
      <c r="G1267" s="18"/>
      <c r="H1267" s="17"/>
      <c r="I1267" s="23"/>
      <c r="J1267" s="17"/>
    </row>
    <row r="1268" spans="1:10" x14ac:dyDescent="0.2">
      <c r="A1268" s="16"/>
      <c r="B1268" s="34"/>
      <c r="C1268" s="16"/>
      <c r="D1268" s="17"/>
      <c r="E1268" s="17"/>
      <c r="F1268" s="17"/>
      <c r="G1268" s="18"/>
      <c r="H1268" s="17"/>
      <c r="I1268" s="23"/>
      <c r="J1268" s="17"/>
    </row>
    <row r="1269" spans="1:10" x14ac:dyDescent="0.2">
      <c r="A1269" s="16"/>
      <c r="B1269" s="34"/>
      <c r="C1269" s="16"/>
      <c r="D1269" s="17"/>
      <c r="E1269" s="17"/>
      <c r="F1269" s="17"/>
      <c r="G1269" s="18"/>
      <c r="H1269" s="17"/>
      <c r="I1269" s="23"/>
      <c r="J1269" s="17"/>
    </row>
    <row r="1270" spans="1:10" x14ac:dyDescent="0.2">
      <c r="A1270" s="16"/>
      <c r="B1270" s="34"/>
      <c r="C1270" s="16"/>
      <c r="D1270" s="17"/>
      <c r="E1270" s="17"/>
      <c r="F1270" s="17"/>
      <c r="G1270" s="18"/>
      <c r="H1270" s="17"/>
      <c r="I1270" s="23"/>
      <c r="J1270" s="17"/>
    </row>
    <row r="1271" spans="1:10" x14ac:dyDescent="0.2">
      <c r="A1271" s="16"/>
      <c r="B1271" s="34"/>
      <c r="C1271" s="16"/>
      <c r="D1271" s="17"/>
      <c r="E1271" s="17"/>
      <c r="F1271" s="17"/>
      <c r="G1271" s="18"/>
      <c r="H1271" s="17"/>
      <c r="I1271" s="23"/>
      <c r="J1271" s="17"/>
    </row>
    <row r="1272" spans="1:10" x14ac:dyDescent="0.2">
      <c r="A1272" s="16"/>
      <c r="B1272" s="34"/>
      <c r="C1272" s="16"/>
      <c r="D1272" s="17"/>
      <c r="E1272" s="17"/>
      <c r="F1272" s="17"/>
      <c r="G1272" s="18"/>
      <c r="H1272" s="17"/>
      <c r="I1272" s="23"/>
      <c r="J1272" s="17"/>
    </row>
    <row r="1273" spans="1:10" x14ac:dyDescent="0.2">
      <c r="A1273" s="16"/>
      <c r="B1273" s="34"/>
      <c r="C1273" s="16"/>
      <c r="D1273" s="17"/>
      <c r="E1273" s="17"/>
      <c r="F1273" s="17"/>
      <c r="G1273" s="18"/>
      <c r="H1273" s="17"/>
      <c r="I1273" s="23"/>
      <c r="J1273" s="17"/>
    </row>
    <row r="1274" spans="1:10" x14ac:dyDescent="0.2">
      <c r="A1274" s="16"/>
      <c r="B1274" s="34"/>
      <c r="C1274" s="16"/>
      <c r="D1274" s="17"/>
      <c r="E1274" s="17"/>
      <c r="F1274" s="17"/>
      <c r="G1274" s="18"/>
      <c r="H1274" s="17"/>
      <c r="I1274" s="23"/>
      <c r="J1274" s="17"/>
    </row>
    <row r="1275" spans="1:10" x14ac:dyDescent="0.2">
      <c r="A1275" s="16"/>
      <c r="B1275" s="34"/>
      <c r="C1275" s="16"/>
      <c r="D1275" s="17"/>
      <c r="E1275" s="17"/>
      <c r="F1275" s="17"/>
      <c r="G1275" s="18"/>
      <c r="H1275" s="17"/>
      <c r="I1275" s="23"/>
      <c r="J1275" s="17"/>
    </row>
    <row r="1276" spans="1:10" x14ac:dyDescent="0.2">
      <c r="A1276" s="16"/>
      <c r="B1276" s="34"/>
      <c r="C1276" s="16"/>
      <c r="D1276" s="17"/>
      <c r="E1276" s="17"/>
      <c r="F1276" s="17"/>
      <c r="G1276" s="18"/>
      <c r="H1276" s="17"/>
      <c r="I1276" s="23"/>
      <c r="J1276" s="17"/>
    </row>
    <row r="1277" spans="1:10" x14ac:dyDescent="0.2">
      <c r="A1277" s="16"/>
      <c r="B1277" s="34"/>
      <c r="C1277" s="16"/>
      <c r="D1277" s="17"/>
      <c r="E1277" s="17"/>
      <c r="F1277" s="17"/>
      <c r="G1277" s="18"/>
      <c r="H1277" s="17"/>
      <c r="I1277" s="23"/>
      <c r="J1277" s="17"/>
    </row>
    <row r="1278" spans="1:10" x14ac:dyDescent="0.2">
      <c r="A1278" s="16"/>
      <c r="B1278" s="34"/>
      <c r="C1278" s="16"/>
      <c r="D1278" s="17"/>
      <c r="E1278" s="17"/>
      <c r="F1278" s="17"/>
      <c r="G1278" s="18"/>
      <c r="H1278" s="17"/>
      <c r="I1278" s="23"/>
      <c r="J1278" s="17"/>
    </row>
    <row r="1279" spans="1:10" x14ac:dyDescent="0.2">
      <c r="A1279" s="16"/>
      <c r="B1279" s="34"/>
      <c r="C1279" s="16"/>
      <c r="D1279" s="17"/>
      <c r="E1279" s="17"/>
      <c r="F1279" s="17"/>
      <c r="G1279" s="18"/>
      <c r="H1279" s="17"/>
      <c r="I1279" s="23"/>
      <c r="J1279" s="17"/>
    </row>
    <row r="1280" spans="1:10" x14ac:dyDescent="0.2">
      <c r="A1280" s="16"/>
      <c r="B1280" s="34"/>
      <c r="C1280" s="16"/>
      <c r="D1280" s="17"/>
      <c r="E1280" s="17"/>
      <c r="F1280" s="17"/>
      <c r="G1280" s="18"/>
      <c r="H1280" s="17"/>
      <c r="I1280" s="23"/>
      <c r="J1280" s="17"/>
    </row>
    <row r="1281" spans="1:10" x14ac:dyDescent="0.2">
      <c r="A1281" s="16"/>
      <c r="B1281" s="34"/>
      <c r="C1281" s="16"/>
      <c r="D1281" s="17"/>
      <c r="E1281" s="17"/>
      <c r="F1281" s="17"/>
      <c r="G1281" s="18"/>
      <c r="H1281" s="17"/>
      <c r="I1281" s="23"/>
      <c r="J1281" s="17"/>
    </row>
    <row r="1282" spans="1:10" x14ac:dyDescent="0.2">
      <c r="A1282" s="16"/>
      <c r="B1282" s="34"/>
      <c r="C1282" s="16"/>
      <c r="D1282" s="17"/>
      <c r="E1282" s="17"/>
      <c r="F1282" s="17"/>
      <c r="G1282" s="18"/>
      <c r="H1282" s="17"/>
      <c r="I1282" s="23"/>
      <c r="J1282" s="17"/>
    </row>
    <row r="1283" spans="1:10" x14ac:dyDescent="0.2">
      <c r="A1283" s="16"/>
      <c r="B1283" s="34"/>
      <c r="C1283" s="16"/>
      <c r="D1283" s="17"/>
      <c r="E1283" s="17"/>
      <c r="F1283" s="17"/>
      <c r="G1283" s="18"/>
      <c r="H1283" s="17"/>
      <c r="I1283" s="23"/>
      <c r="J1283" s="17"/>
    </row>
    <row r="1284" spans="1:10" x14ac:dyDescent="0.2">
      <c r="A1284" s="16"/>
      <c r="B1284" s="34"/>
      <c r="C1284" s="16"/>
      <c r="D1284" s="17"/>
      <c r="E1284" s="17"/>
      <c r="F1284" s="17"/>
      <c r="G1284" s="18"/>
      <c r="H1284" s="17"/>
      <c r="I1284" s="23"/>
      <c r="J1284" s="17"/>
    </row>
    <row r="1285" spans="1:10" x14ac:dyDescent="0.2">
      <c r="A1285" s="16"/>
      <c r="B1285" s="34"/>
      <c r="C1285" s="16"/>
      <c r="D1285" s="17"/>
      <c r="E1285" s="17"/>
      <c r="F1285" s="17"/>
      <c r="G1285" s="18"/>
      <c r="H1285" s="17"/>
      <c r="I1285" s="23"/>
      <c r="J1285" s="17"/>
    </row>
    <row r="1286" spans="1:10" x14ac:dyDescent="0.2">
      <c r="A1286" s="16"/>
      <c r="B1286" s="34"/>
      <c r="C1286" s="16"/>
      <c r="D1286" s="17"/>
      <c r="E1286" s="17"/>
      <c r="F1286" s="17"/>
      <c r="G1286" s="18"/>
      <c r="H1286" s="17"/>
      <c r="I1286" s="23"/>
      <c r="J1286" s="17"/>
    </row>
    <row r="1287" spans="1:10" x14ac:dyDescent="0.2">
      <c r="A1287" s="16"/>
      <c r="B1287" s="34"/>
      <c r="C1287" s="16"/>
      <c r="D1287" s="17"/>
      <c r="E1287" s="17"/>
      <c r="F1287" s="17"/>
      <c r="G1287" s="18"/>
      <c r="H1287" s="17"/>
      <c r="I1287" s="23"/>
      <c r="J1287" s="17"/>
    </row>
    <row r="1288" spans="1:10" x14ac:dyDescent="0.2">
      <c r="A1288" s="16"/>
      <c r="B1288" s="34"/>
      <c r="C1288" s="16"/>
      <c r="D1288" s="17"/>
      <c r="E1288" s="17"/>
      <c r="F1288" s="17"/>
      <c r="G1288" s="18"/>
      <c r="H1288" s="17"/>
      <c r="I1288" s="23"/>
      <c r="J1288" s="17"/>
    </row>
    <row r="1289" spans="1:10" x14ac:dyDescent="0.2">
      <c r="A1289" s="16"/>
      <c r="B1289" s="34"/>
      <c r="C1289" s="16"/>
      <c r="D1289" s="17"/>
      <c r="E1289" s="17"/>
      <c r="F1289" s="17"/>
      <c r="G1289" s="18"/>
      <c r="H1289" s="17"/>
      <c r="I1289" s="23"/>
      <c r="J1289" s="17"/>
    </row>
    <row r="1290" spans="1:10" x14ac:dyDescent="0.2">
      <c r="A1290" s="16"/>
      <c r="B1290" s="34"/>
      <c r="C1290" s="16"/>
      <c r="D1290" s="17"/>
      <c r="E1290" s="17"/>
      <c r="F1290" s="17"/>
      <c r="G1290" s="18"/>
      <c r="H1290" s="17"/>
      <c r="I1290" s="23"/>
      <c r="J1290" s="17"/>
    </row>
    <row r="1291" spans="1:10" x14ac:dyDescent="0.2">
      <c r="A1291" s="16"/>
      <c r="B1291" s="34"/>
      <c r="C1291" s="16"/>
      <c r="D1291" s="17"/>
      <c r="E1291" s="17"/>
      <c r="F1291" s="17"/>
      <c r="G1291" s="18"/>
      <c r="H1291" s="17"/>
      <c r="I1291" s="23"/>
      <c r="J1291" s="17"/>
    </row>
    <row r="1292" spans="1:10" x14ac:dyDescent="0.2">
      <c r="A1292" s="16"/>
      <c r="B1292" s="34"/>
      <c r="C1292" s="16"/>
      <c r="D1292" s="17"/>
      <c r="E1292" s="17"/>
      <c r="F1292" s="17"/>
      <c r="G1292" s="18"/>
      <c r="H1292" s="17"/>
      <c r="I1292" s="23"/>
      <c r="J1292" s="17"/>
    </row>
    <row r="1293" spans="1:10" x14ac:dyDescent="0.2">
      <c r="A1293" s="16"/>
      <c r="B1293" s="34"/>
      <c r="C1293" s="16"/>
      <c r="D1293" s="17"/>
      <c r="E1293" s="17"/>
      <c r="F1293" s="17"/>
      <c r="G1293" s="18"/>
      <c r="H1293" s="17"/>
      <c r="I1293" s="23"/>
      <c r="J1293" s="17"/>
    </row>
    <row r="1294" spans="1:10" x14ac:dyDescent="0.2">
      <c r="A1294" s="16"/>
      <c r="B1294" s="34"/>
      <c r="C1294" s="16"/>
      <c r="D1294" s="17"/>
      <c r="E1294" s="17"/>
      <c r="F1294" s="17"/>
      <c r="G1294" s="18"/>
      <c r="H1294" s="17"/>
      <c r="I1294" s="23"/>
      <c r="J1294" s="17"/>
    </row>
    <row r="1295" spans="1:10" x14ac:dyDescent="0.2">
      <c r="A1295" s="16"/>
      <c r="B1295" s="34"/>
      <c r="C1295" s="16"/>
      <c r="D1295" s="17"/>
      <c r="E1295" s="17"/>
      <c r="F1295" s="17"/>
      <c r="G1295" s="18"/>
      <c r="H1295" s="17"/>
      <c r="I1295" s="23"/>
      <c r="J1295" s="17"/>
    </row>
    <row r="1296" spans="1:10" x14ac:dyDescent="0.2">
      <c r="A1296" s="16"/>
      <c r="B1296" s="34"/>
      <c r="C1296" s="16"/>
      <c r="D1296" s="17"/>
      <c r="E1296" s="17"/>
      <c r="F1296" s="17"/>
      <c r="G1296" s="18"/>
      <c r="H1296" s="17"/>
      <c r="I1296" s="23"/>
      <c r="J1296" s="17"/>
    </row>
    <row r="1297" spans="1:10" x14ac:dyDescent="0.2">
      <c r="A1297" s="16"/>
      <c r="B1297" s="34"/>
      <c r="C1297" s="16"/>
      <c r="D1297" s="17"/>
      <c r="E1297" s="17"/>
      <c r="F1297" s="17"/>
      <c r="G1297" s="18"/>
      <c r="H1297" s="17"/>
      <c r="I1297" s="23"/>
      <c r="J1297" s="17"/>
    </row>
    <row r="1298" spans="1:10" x14ac:dyDescent="0.2">
      <c r="A1298" s="16"/>
      <c r="B1298" s="34"/>
      <c r="C1298" s="16"/>
      <c r="D1298" s="17"/>
      <c r="E1298" s="17"/>
      <c r="F1298" s="17"/>
      <c r="G1298" s="18"/>
      <c r="H1298" s="17"/>
      <c r="I1298" s="17"/>
      <c r="J1298" s="17"/>
    </row>
    <row r="1299" spans="1:10" x14ac:dyDescent="0.2">
      <c r="A1299" s="16"/>
      <c r="B1299" s="34"/>
      <c r="C1299" s="16"/>
      <c r="D1299" s="17"/>
      <c r="E1299" s="17"/>
      <c r="F1299" s="17"/>
      <c r="G1299" s="18"/>
      <c r="H1299" s="17"/>
      <c r="I1299" s="17"/>
      <c r="J1299" s="17"/>
    </row>
    <row r="1300" spans="1:10" x14ac:dyDescent="0.2">
      <c r="A1300" s="16"/>
      <c r="B1300" s="34"/>
      <c r="C1300" s="16"/>
      <c r="D1300" s="17"/>
      <c r="E1300" s="17"/>
      <c r="F1300" s="17"/>
      <c r="G1300" s="18"/>
      <c r="H1300" s="17"/>
      <c r="I1300" s="17"/>
      <c r="J1300" s="17"/>
    </row>
    <row r="1301" spans="1:10" x14ac:dyDescent="0.2">
      <c r="A1301" s="16"/>
      <c r="B1301" s="34"/>
      <c r="C1301" s="16"/>
      <c r="D1301" s="17"/>
      <c r="E1301" s="17"/>
      <c r="F1301" s="17"/>
      <c r="G1301" s="18"/>
      <c r="H1301" s="17"/>
      <c r="I1301" s="17"/>
      <c r="J1301" s="17"/>
    </row>
    <row r="1302" spans="1:10" x14ac:dyDescent="0.2">
      <c r="A1302" s="16"/>
      <c r="B1302" s="34"/>
      <c r="C1302" s="16"/>
      <c r="D1302" s="17"/>
      <c r="E1302" s="17"/>
      <c r="F1302" s="17"/>
      <c r="G1302" s="18"/>
      <c r="H1302" s="17"/>
      <c r="I1302" s="17"/>
      <c r="J1302" s="17"/>
    </row>
  </sheetData>
  <autoFilter ref="A1:J1110" xr:uid="{00000000-0009-0000-0000-000001000000}">
    <filterColumn colId="6" showButton="0"/>
    <sortState xmlns:xlrd2="http://schemas.microsoft.com/office/spreadsheetml/2017/richdata2" ref="A2:J1111">
      <sortCondition ref="A1:A1111"/>
    </sortState>
  </autoFilter>
  <pageMargins left="0.23622047244094491" right="0.19685039370078741" top="0.74803149606299213" bottom="0.55118110236220474" header="0.31496062992125984" footer="0.31496062992125984"/>
  <pageSetup paperSize="9" orientation="landscape" r:id="rId1"/>
  <headerFooter>
    <oddHeader xml:space="preserve">&amp;C&amp;"-,Fett"&amp;14Aufträge für Instandhaltung 2018
</oddHeader>
    <oddFooter>&amp;L&amp;8AS = Andreas Stachon, ST= Stephan Schnitzler&amp;C&amp;9Seite &amp;P von &amp;N&amp;R&amp;9Druck: 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E4"/>
  <sheetViews>
    <sheetView topLeftCell="A11" workbookViewId="0"/>
  </sheetViews>
  <sheetFormatPr baseColWidth="10" defaultColWidth="11.5" defaultRowHeight="15" x14ac:dyDescent="0.2"/>
  <sheetData>
    <row r="1" spans="1:5" x14ac:dyDescent="0.2">
      <c r="A1" s="10" t="s">
        <v>803</v>
      </c>
      <c r="B1" s="11" t="s">
        <v>1</v>
      </c>
      <c r="C1" s="7" t="s">
        <v>2</v>
      </c>
      <c r="D1" s="2" t="s">
        <v>3</v>
      </c>
      <c r="E1" s="2" t="s">
        <v>4</v>
      </c>
    </row>
    <row r="2" spans="1:5" x14ac:dyDescent="0.2">
      <c r="A2" s="8">
        <v>111</v>
      </c>
      <c r="B2" s="4">
        <v>41277</v>
      </c>
      <c r="C2" s="8">
        <v>18</v>
      </c>
      <c r="D2" s="3" t="s">
        <v>804</v>
      </c>
      <c r="E2" s="3" t="s">
        <v>637</v>
      </c>
    </row>
    <row r="3" spans="1:5" x14ac:dyDescent="0.2">
      <c r="A3" s="8">
        <v>112</v>
      </c>
      <c r="B3" s="4">
        <v>41277</v>
      </c>
      <c r="C3" s="8">
        <v>7</v>
      </c>
      <c r="D3" s="3" t="s">
        <v>805</v>
      </c>
      <c r="E3" s="3" t="s">
        <v>637</v>
      </c>
    </row>
    <row r="4" spans="1:5" x14ac:dyDescent="0.2">
      <c r="A4" s="8">
        <v>113</v>
      </c>
      <c r="B4" s="4">
        <v>41282</v>
      </c>
      <c r="C4" s="8">
        <v>6</v>
      </c>
      <c r="D4" s="3" t="s">
        <v>806</v>
      </c>
      <c r="E4" s="3" t="s">
        <v>807</v>
      </c>
    </row>
  </sheetData>
  <autoFilter ref="A1:E1" xr:uid="{00000000-0009-0000-0000-000002000000}">
    <sortState xmlns:xlrd2="http://schemas.microsoft.com/office/spreadsheetml/2017/richdata2" ref="A2:E4">
      <sortCondition ref="A1"/>
    </sortState>
  </autoFilter>
  <pageMargins left="0.7" right="0.7" top="0.78740157499999996" bottom="0.78740157499999996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51"/>
  <sheetViews>
    <sheetView topLeftCell="A24" workbookViewId="0">
      <selection activeCell="I24" sqref="I24"/>
    </sheetView>
  </sheetViews>
  <sheetFormatPr baseColWidth="10" defaultColWidth="11.5" defaultRowHeight="15" x14ac:dyDescent="0.2"/>
  <cols>
    <col min="2" max="2" width="27.33203125" bestFit="1" customWidth="1"/>
    <col min="4" max="4" width="23.33203125" bestFit="1" customWidth="1"/>
    <col min="6" max="6" width="33.33203125" bestFit="1" customWidth="1"/>
  </cols>
  <sheetData>
    <row r="1" spans="1:6" x14ac:dyDescent="0.2">
      <c r="A1" t="s">
        <v>808</v>
      </c>
      <c r="B1" t="s">
        <v>809</v>
      </c>
      <c r="C1" t="s">
        <v>810</v>
      </c>
      <c r="D1" t="s">
        <v>811</v>
      </c>
      <c r="E1" t="s">
        <v>812</v>
      </c>
      <c r="F1" t="s">
        <v>813</v>
      </c>
    </row>
    <row r="2" spans="1:6" x14ac:dyDescent="0.2">
      <c r="A2">
        <v>1</v>
      </c>
      <c r="B2" t="s">
        <v>711</v>
      </c>
      <c r="C2">
        <v>40476</v>
      </c>
      <c r="D2" t="s">
        <v>814</v>
      </c>
      <c r="E2" t="s">
        <v>58</v>
      </c>
      <c r="F2" t="s">
        <v>815</v>
      </c>
    </row>
    <row r="3" spans="1:6" x14ac:dyDescent="0.2">
      <c r="A3">
        <v>2</v>
      </c>
      <c r="B3" t="s">
        <v>816</v>
      </c>
      <c r="C3">
        <v>40477</v>
      </c>
      <c r="D3" t="s">
        <v>814</v>
      </c>
      <c r="E3" t="s">
        <v>58</v>
      </c>
      <c r="F3" t="s">
        <v>815</v>
      </c>
    </row>
    <row r="4" spans="1:6" x14ac:dyDescent="0.2">
      <c r="A4">
        <v>3</v>
      </c>
      <c r="B4" t="s">
        <v>320</v>
      </c>
      <c r="C4">
        <v>40477</v>
      </c>
      <c r="D4" t="s">
        <v>814</v>
      </c>
      <c r="E4" t="s">
        <v>58</v>
      </c>
      <c r="F4" t="s">
        <v>815</v>
      </c>
    </row>
    <row r="5" spans="1:6" x14ac:dyDescent="0.2">
      <c r="A5">
        <v>4</v>
      </c>
      <c r="B5" t="s">
        <v>817</v>
      </c>
      <c r="C5">
        <v>40233</v>
      </c>
      <c r="D5" t="s">
        <v>814</v>
      </c>
      <c r="E5" t="s">
        <v>58</v>
      </c>
      <c r="F5" t="s">
        <v>815</v>
      </c>
    </row>
    <row r="6" spans="1:6" x14ac:dyDescent="0.2">
      <c r="A6">
        <v>5</v>
      </c>
      <c r="B6" t="s">
        <v>164</v>
      </c>
      <c r="C6">
        <v>40215</v>
      </c>
      <c r="D6" t="s">
        <v>814</v>
      </c>
      <c r="E6" t="s">
        <v>23</v>
      </c>
      <c r="F6" t="s">
        <v>815</v>
      </c>
    </row>
    <row r="7" spans="1:6" x14ac:dyDescent="0.2">
      <c r="A7">
        <v>6</v>
      </c>
      <c r="B7" t="s">
        <v>283</v>
      </c>
      <c r="C7">
        <v>40235</v>
      </c>
      <c r="D7" t="s">
        <v>814</v>
      </c>
      <c r="E7" t="s">
        <v>58</v>
      </c>
      <c r="F7" t="s">
        <v>815</v>
      </c>
    </row>
    <row r="8" spans="1:6" x14ac:dyDescent="0.2">
      <c r="A8">
        <v>7</v>
      </c>
      <c r="B8" t="s">
        <v>818</v>
      </c>
      <c r="C8">
        <v>40235</v>
      </c>
      <c r="D8" t="s">
        <v>814</v>
      </c>
      <c r="E8" t="s">
        <v>58</v>
      </c>
      <c r="F8" t="s">
        <v>815</v>
      </c>
    </row>
    <row r="9" spans="1:6" x14ac:dyDescent="0.2">
      <c r="A9">
        <v>8</v>
      </c>
      <c r="B9" t="s">
        <v>544</v>
      </c>
      <c r="C9">
        <v>40211</v>
      </c>
      <c r="D9" t="s">
        <v>814</v>
      </c>
      <c r="E9" t="s">
        <v>58</v>
      </c>
      <c r="F9" t="s">
        <v>815</v>
      </c>
    </row>
    <row r="10" spans="1:6" x14ac:dyDescent="0.2">
      <c r="A10">
        <v>9</v>
      </c>
      <c r="B10" t="s">
        <v>244</v>
      </c>
      <c r="C10">
        <v>40477</v>
      </c>
      <c r="D10" t="s">
        <v>814</v>
      </c>
      <c r="E10" t="s">
        <v>58</v>
      </c>
      <c r="F10" t="s">
        <v>815</v>
      </c>
    </row>
    <row r="11" spans="1:6" x14ac:dyDescent="0.2">
      <c r="A11">
        <v>10</v>
      </c>
      <c r="B11" t="s">
        <v>708</v>
      </c>
      <c r="C11">
        <v>40472</v>
      </c>
      <c r="D11" t="s">
        <v>814</v>
      </c>
      <c r="E11" t="s">
        <v>58</v>
      </c>
      <c r="F11" t="s">
        <v>815</v>
      </c>
    </row>
    <row r="12" spans="1:6" x14ac:dyDescent="0.2">
      <c r="A12">
        <v>11</v>
      </c>
      <c r="B12" t="s">
        <v>819</v>
      </c>
      <c r="C12">
        <v>40591</v>
      </c>
      <c r="D12" t="s">
        <v>814</v>
      </c>
      <c r="E12" t="s">
        <v>58</v>
      </c>
      <c r="F12" t="s">
        <v>815</v>
      </c>
    </row>
    <row r="13" spans="1:6" x14ac:dyDescent="0.2">
      <c r="A13">
        <v>12</v>
      </c>
      <c r="B13" t="s">
        <v>89</v>
      </c>
      <c r="C13">
        <v>40223</v>
      </c>
      <c r="D13" t="s">
        <v>814</v>
      </c>
      <c r="E13" t="s">
        <v>23</v>
      </c>
      <c r="F13" t="s">
        <v>815</v>
      </c>
    </row>
    <row r="14" spans="1:6" x14ac:dyDescent="0.2">
      <c r="A14">
        <v>13</v>
      </c>
      <c r="B14" t="s">
        <v>238</v>
      </c>
      <c r="C14">
        <v>40227</v>
      </c>
      <c r="D14" t="s">
        <v>814</v>
      </c>
      <c r="E14" t="s">
        <v>23</v>
      </c>
      <c r="F14" t="s">
        <v>815</v>
      </c>
    </row>
    <row r="15" spans="1:6" x14ac:dyDescent="0.2">
      <c r="A15">
        <v>14</v>
      </c>
      <c r="B15" t="s">
        <v>534</v>
      </c>
      <c r="C15">
        <v>40627</v>
      </c>
      <c r="D15" t="s">
        <v>814</v>
      </c>
      <c r="E15" t="s">
        <v>58</v>
      </c>
      <c r="F15" t="s">
        <v>815</v>
      </c>
    </row>
    <row r="16" spans="1:6" x14ac:dyDescent="0.2">
      <c r="A16">
        <v>15</v>
      </c>
      <c r="B16" t="s">
        <v>398</v>
      </c>
      <c r="C16">
        <v>40489</v>
      </c>
      <c r="D16" t="s">
        <v>814</v>
      </c>
      <c r="E16" t="s">
        <v>58</v>
      </c>
      <c r="F16" t="s">
        <v>815</v>
      </c>
    </row>
    <row r="17" spans="1:6" x14ac:dyDescent="0.2">
      <c r="A17">
        <v>16</v>
      </c>
      <c r="B17" t="s">
        <v>137</v>
      </c>
      <c r="C17">
        <v>40489</v>
      </c>
      <c r="D17" t="s">
        <v>814</v>
      </c>
      <c r="E17" t="s">
        <v>58</v>
      </c>
      <c r="F17" t="s">
        <v>815</v>
      </c>
    </row>
    <row r="18" spans="1:6" x14ac:dyDescent="0.2">
      <c r="A18">
        <v>17</v>
      </c>
      <c r="B18" t="s">
        <v>820</v>
      </c>
      <c r="C18">
        <v>40227</v>
      </c>
      <c r="D18" t="s">
        <v>814</v>
      </c>
      <c r="E18" t="s">
        <v>23</v>
      </c>
      <c r="F18" t="s">
        <v>815</v>
      </c>
    </row>
    <row r="19" spans="1:6" x14ac:dyDescent="0.2">
      <c r="A19">
        <v>18</v>
      </c>
      <c r="B19" t="s">
        <v>437</v>
      </c>
      <c r="C19">
        <v>40227</v>
      </c>
      <c r="D19" t="s">
        <v>814</v>
      </c>
      <c r="E19" t="s">
        <v>23</v>
      </c>
      <c r="F19" t="s">
        <v>815</v>
      </c>
    </row>
    <row r="20" spans="1:6" x14ac:dyDescent="0.2">
      <c r="A20">
        <v>19</v>
      </c>
      <c r="B20" t="s">
        <v>585</v>
      </c>
      <c r="C20">
        <v>41748</v>
      </c>
      <c r="D20" t="s">
        <v>821</v>
      </c>
      <c r="E20" t="s">
        <v>23</v>
      </c>
      <c r="F20" t="s">
        <v>815</v>
      </c>
    </row>
    <row r="21" spans="1:6" x14ac:dyDescent="0.2">
      <c r="A21">
        <v>20</v>
      </c>
      <c r="B21" t="s">
        <v>100</v>
      </c>
      <c r="C21">
        <v>41065</v>
      </c>
      <c r="D21" t="s">
        <v>822</v>
      </c>
      <c r="E21" t="s">
        <v>23</v>
      </c>
      <c r="F21" t="s">
        <v>815</v>
      </c>
    </row>
    <row r="22" spans="1:6" x14ac:dyDescent="0.2">
      <c r="A22">
        <v>21</v>
      </c>
      <c r="B22" t="s">
        <v>823</v>
      </c>
      <c r="C22">
        <v>41564</v>
      </c>
      <c r="D22" t="s">
        <v>824</v>
      </c>
      <c r="E22" t="s">
        <v>23</v>
      </c>
      <c r="F22" t="s">
        <v>815</v>
      </c>
    </row>
    <row r="23" spans="1:6" x14ac:dyDescent="0.2">
      <c r="A23">
        <v>22</v>
      </c>
      <c r="B23" t="s">
        <v>825</v>
      </c>
      <c r="C23">
        <v>40237</v>
      </c>
      <c r="D23" t="s">
        <v>814</v>
      </c>
      <c r="E23" t="s">
        <v>58</v>
      </c>
      <c r="F23" t="s">
        <v>815</v>
      </c>
    </row>
    <row r="24" spans="1:6" x14ac:dyDescent="0.2">
      <c r="A24">
        <v>23</v>
      </c>
      <c r="B24" t="s">
        <v>826</v>
      </c>
      <c r="C24">
        <v>40211</v>
      </c>
      <c r="D24" t="s">
        <v>814</v>
      </c>
      <c r="E24" t="s">
        <v>58</v>
      </c>
      <c r="F24" t="s">
        <v>815</v>
      </c>
    </row>
    <row r="25" spans="1:6" x14ac:dyDescent="0.2">
      <c r="A25">
        <v>24</v>
      </c>
      <c r="B25" t="s">
        <v>59</v>
      </c>
      <c r="C25">
        <v>40489</v>
      </c>
      <c r="D25" t="s">
        <v>814</v>
      </c>
      <c r="E25" t="s">
        <v>58</v>
      </c>
      <c r="F25" t="s">
        <v>815</v>
      </c>
    </row>
    <row r="26" spans="1:6" x14ac:dyDescent="0.2">
      <c r="A26">
        <v>25</v>
      </c>
      <c r="B26" t="s">
        <v>128</v>
      </c>
      <c r="C26">
        <v>40489</v>
      </c>
      <c r="D26" t="s">
        <v>814</v>
      </c>
      <c r="E26" t="s">
        <v>58</v>
      </c>
      <c r="F26" t="s">
        <v>815</v>
      </c>
    </row>
    <row r="27" spans="1:6" x14ac:dyDescent="0.2">
      <c r="A27">
        <v>26</v>
      </c>
      <c r="B27" t="s">
        <v>110</v>
      </c>
      <c r="C27">
        <v>40489</v>
      </c>
      <c r="D27" t="s">
        <v>814</v>
      </c>
      <c r="E27" t="s">
        <v>58</v>
      </c>
      <c r="F27" t="s">
        <v>815</v>
      </c>
    </row>
    <row r="28" spans="1:6" x14ac:dyDescent="0.2">
      <c r="A28">
        <v>27</v>
      </c>
      <c r="B28" t="s">
        <v>63</v>
      </c>
      <c r="C28">
        <v>40489</v>
      </c>
      <c r="D28" t="s">
        <v>814</v>
      </c>
      <c r="E28" t="s">
        <v>58</v>
      </c>
      <c r="F28" t="s">
        <v>815</v>
      </c>
    </row>
    <row r="29" spans="1:6" x14ac:dyDescent="0.2">
      <c r="A29">
        <v>28</v>
      </c>
      <c r="B29" t="s">
        <v>827</v>
      </c>
      <c r="C29">
        <v>40489</v>
      </c>
      <c r="D29" t="s">
        <v>814</v>
      </c>
      <c r="E29" t="s">
        <v>58</v>
      </c>
      <c r="F29" t="s">
        <v>828</v>
      </c>
    </row>
    <row r="30" spans="1:6" x14ac:dyDescent="0.2">
      <c r="A30">
        <v>29</v>
      </c>
      <c r="B30" t="s">
        <v>98</v>
      </c>
      <c r="C30">
        <v>47057</v>
      </c>
      <c r="D30" t="s">
        <v>829</v>
      </c>
      <c r="E30" t="s">
        <v>58</v>
      </c>
      <c r="F30" t="s">
        <v>828</v>
      </c>
    </row>
    <row r="31" spans="1:6" x14ac:dyDescent="0.2">
      <c r="A31">
        <v>30</v>
      </c>
      <c r="B31" t="s">
        <v>762</v>
      </c>
      <c r="C31">
        <v>47057</v>
      </c>
      <c r="D31" t="s">
        <v>829</v>
      </c>
      <c r="E31" t="s">
        <v>58</v>
      </c>
      <c r="F31" t="s">
        <v>828</v>
      </c>
    </row>
    <row r="32" spans="1:6" x14ac:dyDescent="0.2">
      <c r="A32">
        <v>31</v>
      </c>
      <c r="B32" t="s">
        <v>830</v>
      </c>
      <c r="C32">
        <v>47269</v>
      </c>
      <c r="D32" t="s">
        <v>829</v>
      </c>
      <c r="E32" t="s">
        <v>58</v>
      </c>
      <c r="F32" t="s">
        <v>828</v>
      </c>
    </row>
    <row r="33" spans="1:6" x14ac:dyDescent="0.2">
      <c r="A33">
        <v>32</v>
      </c>
      <c r="B33" t="s">
        <v>39</v>
      </c>
      <c r="C33">
        <v>40489</v>
      </c>
      <c r="D33" t="s">
        <v>814</v>
      </c>
      <c r="E33" t="s">
        <v>58</v>
      </c>
      <c r="F33" t="s">
        <v>828</v>
      </c>
    </row>
    <row r="34" spans="1:6" x14ac:dyDescent="0.2">
      <c r="A34">
        <v>33</v>
      </c>
      <c r="B34" t="s">
        <v>85</v>
      </c>
      <c r="C34">
        <v>40489</v>
      </c>
      <c r="D34" t="s">
        <v>814</v>
      </c>
      <c r="E34" t="s">
        <v>58</v>
      </c>
      <c r="F34" t="s">
        <v>828</v>
      </c>
    </row>
    <row r="35" spans="1:6" x14ac:dyDescent="0.2">
      <c r="A35">
        <v>34</v>
      </c>
      <c r="B35" t="s">
        <v>355</v>
      </c>
      <c r="C35">
        <v>40489</v>
      </c>
      <c r="D35" t="s">
        <v>814</v>
      </c>
      <c r="E35" t="s">
        <v>58</v>
      </c>
      <c r="F35" t="s">
        <v>828</v>
      </c>
    </row>
    <row r="36" spans="1:6" x14ac:dyDescent="0.2">
      <c r="A36">
        <v>35</v>
      </c>
      <c r="B36" t="s">
        <v>831</v>
      </c>
      <c r="C36">
        <v>40489</v>
      </c>
      <c r="D36" t="s">
        <v>814</v>
      </c>
      <c r="E36" t="s">
        <v>58</v>
      </c>
      <c r="F36" t="s">
        <v>828</v>
      </c>
    </row>
    <row r="37" spans="1:6" x14ac:dyDescent="0.2">
      <c r="A37">
        <v>36</v>
      </c>
      <c r="B37" t="s">
        <v>832</v>
      </c>
      <c r="C37">
        <v>40489</v>
      </c>
      <c r="D37" t="s">
        <v>814</v>
      </c>
      <c r="E37" t="s">
        <v>58</v>
      </c>
      <c r="F37" t="s">
        <v>828</v>
      </c>
    </row>
    <row r="38" spans="1:6" x14ac:dyDescent="0.2">
      <c r="A38">
        <v>37</v>
      </c>
      <c r="B38" t="s">
        <v>833</v>
      </c>
      <c r="C38">
        <v>40489</v>
      </c>
      <c r="D38" t="s">
        <v>814</v>
      </c>
      <c r="E38" t="s">
        <v>58</v>
      </c>
      <c r="F38" t="s">
        <v>828</v>
      </c>
    </row>
    <row r="39" spans="1:6" x14ac:dyDescent="0.2">
      <c r="A39">
        <v>38</v>
      </c>
      <c r="B39" t="s">
        <v>834</v>
      </c>
      <c r="C39">
        <v>47057</v>
      </c>
      <c r="D39" t="s">
        <v>829</v>
      </c>
      <c r="E39" t="s">
        <v>58</v>
      </c>
      <c r="F39" t="s">
        <v>828</v>
      </c>
    </row>
    <row r="40" spans="1:6" x14ac:dyDescent="0.2">
      <c r="A40">
        <v>39</v>
      </c>
      <c r="B40" t="s">
        <v>835</v>
      </c>
      <c r="C40">
        <v>47137</v>
      </c>
      <c r="D40" t="s">
        <v>829</v>
      </c>
      <c r="E40" t="s">
        <v>23</v>
      </c>
      <c r="F40" t="s">
        <v>828</v>
      </c>
    </row>
    <row r="41" spans="1:6" x14ac:dyDescent="0.2">
      <c r="A41">
        <v>40</v>
      </c>
      <c r="B41" t="s">
        <v>836</v>
      </c>
      <c r="C41">
        <v>47137</v>
      </c>
      <c r="D41" t="s">
        <v>829</v>
      </c>
      <c r="E41" t="s">
        <v>23</v>
      </c>
      <c r="F41" t="s">
        <v>828</v>
      </c>
    </row>
    <row r="42" spans="1:6" x14ac:dyDescent="0.2">
      <c r="A42">
        <v>41</v>
      </c>
      <c r="B42" t="s">
        <v>26</v>
      </c>
      <c r="C42">
        <v>47137</v>
      </c>
      <c r="D42" t="s">
        <v>829</v>
      </c>
      <c r="E42" t="s">
        <v>23</v>
      </c>
      <c r="F42" t="s">
        <v>828</v>
      </c>
    </row>
    <row r="43" spans="1:6" x14ac:dyDescent="0.2">
      <c r="A43">
        <v>42</v>
      </c>
      <c r="B43" t="s">
        <v>837</v>
      </c>
      <c r="C43">
        <v>47137</v>
      </c>
      <c r="D43" t="s">
        <v>829</v>
      </c>
      <c r="E43" t="s">
        <v>23</v>
      </c>
      <c r="F43" t="s">
        <v>828</v>
      </c>
    </row>
    <row r="44" spans="1:6" x14ac:dyDescent="0.2">
      <c r="A44">
        <v>43</v>
      </c>
      <c r="B44" t="s">
        <v>253</v>
      </c>
      <c r="C44">
        <v>47138</v>
      </c>
      <c r="D44" t="s">
        <v>829</v>
      </c>
      <c r="E44" t="s">
        <v>23</v>
      </c>
      <c r="F44" t="s">
        <v>828</v>
      </c>
    </row>
    <row r="45" spans="1:6" x14ac:dyDescent="0.2">
      <c r="A45">
        <v>44</v>
      </c>
      <c r="B45" t="s">
        <v>838</v>
      </c>
      <c r="C45">
        <v>47138</v>
      </c>
      <c r="D45" t="s">
        <v>829</v>
      </c>
      <c r="E45" t="s">
        <v>23</v>
      </c>
      <c r="F45" t="s">
        <v>828</v>
      </c>
    </row>
    <row r="46" spans="1:6" x14ac:dyDescent="0.2">
      <c r="A46">
        <v>45</v>
      </c>
      <c r="B46" t="s">
        <v>155</v>
      </c>
      <c r="C46">
        <v>47138</v>
      </c>
      <c r="D46" t="s">
        <v>829</v>
      </c>
      <c r="E46" t="s">
        <v>23</v>
      </c>
      <c r="F46" t="s">
        <v>828</v>
      </c>
    </row>
    <row r="47" spans="1:6" x14ac:dyDescent="0.2">
      <c r="A47">
        <v>46</v>
      </c>
      <c r="B47" t="s">
        <v>268</v>
      </c>
      <c r="C47">
        <v>47138</v>
      </c>
      <c r="D47" t="s">
        <v>829</v>
      </c>
      <c r="E47" t="s">
        <v>23</v>
      </c>
      <c r="F47" t="s">
        <v>828</v>
      </c>
    </row>
    <row r="48" spans="1:6" x14ac:dyDescent="0.2">
      <c r="A48">
        <v>47</v>
      </c>
      <c r="B48" t="s">
        <v>839</v>
      </c>
      <c r="C48">
        <v>47259</v>
      </c>
      <c r="D48" t="s">
        <v>829</v>
      </c>
      <c r="E48" t="s">
        <v>58</v>
      </c>
      <c r="F48" t="s">
        <v>828</v>
      </c>
    </row>
    <row r="49" spans="1:6" x14ac:dyDescent="0.2">
      <c r="A49">
        <v>48</v>
      </c>
      <c r="B49" t="s">
        <v>840</v>
      </c>
      <c r="C49">
        <v>40233</v>
      </c>
      <c r="D49" t="s">
        <v>814</v>
      </c>
      <c r="E49" t="s">
        <v>23</v>
      </c>
      <c r="F49" t="s">
        <v>828</v>
      </c>
    </row>
    <row r="50" spans="1:6" x14ac:dyDescent="0.2">
      <c r="A50">
        <v>49</v>
      </c>
      <c r="B50" t="s">
        <v>841</v>
      </c>
      <c r="C50">
        <v>40489</v>
      </c>
      <c r="D50" t="s">
        <v>814</v>
      </c>
      <c r="E50" t="s">
        <v>58</v>
      </c>
      <c r="F50" t="s">
        <v>828</v>
      </c>
    </row>
    <row r="51" spans="1:6" x14ac:dyDescent="0.2">
      <c r="A51">
        <v>50</v>
      </c>
      <c r="B51" t="s">
        <v>842</v>
      </c>
      <c r="C51">
        <v>40489</v>
      </c>
      <c r="D51" t="s">
        <v>814</v>
      </c>
      <c r="E51" t="s">
        <v>58</v>
      </c>
      <c r="F51" t="s">
        <v>828</v>
      </c>
    </row>
  </sheetData>
  <autoFilter ref="A1:B55" xr:uid="{00000000-0009-0000-0000-000003000000}">
    <sortState xmlns:xlrd2="http://schemas.microsoft.com/office/spreadsheetml/2017/richdata2" ref="A2:B100">
      <sortCondition ref="A1"/>
    </sortState>
  </autoFilter>
  <pageMargins left="0.7" right="0.7" top="0.78740157499999996" bottom="0.78740157499999996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>
    <tabColor rgb="FFFFC000"/>
  </sheetPr>
  <dimension ref="A1:AC119"/>
  <sheetViews>
    <sheetView showGridLines="0" zoomScaleNormal="100" workbookViewId="0">
      <selection activeCell="C1" sqref="C1:D1"/>
    </sheetView>
  </sheetViews>
  <sheetFormatPr baseColWidth="10" defaultColWidth="11.5" defaultRowHeight="15" x14ac:dyDescent="0.2"/>
  <cols>
    <col min="1" max="1" width="12" customWidth="1"/>
    <col min="2" max="2" width="6.5" customWidth="1"/>
    <col min="3" max="3" width="12.1640625" customWidth="1"/>
    <col min="4" max="4" width="11.33203125" customWidth="1"/>
    <col min="5" max="5" width="8.33203125" customWidth="1"/>
    <col min="6" max="6" width="3" customWidth="1"/>
    <col min="8" max="8" width="8.6640625" customWidth="1"/>
    <col min="9" max="9" width="16.5" customWidth="1"/>
    <col min="12" max="12" width="23.5" customWidth="1"/>
    <col min="13" max="13" width="19.83203125" bestFit="1" customWidth="1"/>
    <col min="14" max="14" width="11.33203125" customWidth="1"/>
    <col min="15" max="15" width="20" bestFit="1" customWidth="1"/>
    <col min="16" max="17" width="19.6640625" bestFit="1" customWidth="1"/>
    <col min="18" max="19" width="20" bestFit="1" customWidth="1"/>
    <col min="20" max="20" width="19.33203125" bestFit="1" customWidth="1"/>
  </cols>
  <sheetData>
    <row r="1" spans="1:29" ht="21" customHeight="1" x14ac:dyDescent="0.25">
      <c r="A1" s="76" t="s">
        <v>934</v>
      </c>
      <c r="C1" s="1" t="s">
        <v>2340</v>
      </c>
      <c r="D1" s="1"/>
    </row>
    <row r="2" spans="1:29" ht="19" x14ac:dyDescent="0.2">
      <c r="A2" s="77"/>
    </row>
    <row r="4" spans="1:29" ht="16" x14ac:dyDescent="0.2">
      <c r="A4" s="79"/>
    </row>
    <row r="5" spans="1:29" x14ac:dyDescent="0.2">
      <c r="A5" s="80"/>
    </row>
    <row r="6" spans="1:29" ht="25" customHeight="1" x14ac:dyDescent="0.2">
      <c r="A6" s="126" t="s">
        <v>844</v>
      </c>
      <c r="B6" s="127">
        <f>VLOOKUP(C1,'Aufträge 2018-2020'!A:J,3,FALSE)</f>
        <v>19</v>
      </c>
      <c r="C6" s="128"/>
      <c r="D6" s="126" t="s">
        <v>845</v>
      </c>
      <c r="E6" s="128" t="str">
        <f>IFERROR(CONCATENATE(VLOOKUP(B6,'Objekt Aufstellung'!A2:B51,2),", ",VLOOKUP(B6,'Objekt Aufstellung'!A2:D51,3)," ",,VLOOKUP(B6,'Objekt Aufstellung'!A2:D51,4)),"Kein gültiger Auftrag!")</f>
        <v>Alte Bachstraße 25, 41748 Viersen</v>
      </c>
      <c r="F6" s="128"/>
      <c r="G6" s="128"/>
      <c r="H6" s="128"/>
      <c r="I6" s="128"/>
    </row>
    <row r="7" spans="1:29" ht="25" customHeight="1" x14ac:dyDescent="0.2">
      <c r="A7" s="129" t="s">
        <v>846</v>
      </c>
      <c r="B7" s="128" t="str">
        <f>VLOOKUP(C1,'Aufträge 2018-2020'!A:J,5,FALSE)</f>
        <v>4.OG e WHG 23</v>
      </c>
      <c r="C7" s="128"/>
      <c r="D7" s="130" t="s">
        <v>847</v>
      </c>
      <c r="E7" s="128" t="str">
        <f>VLOOKUP(C1,'Aufträge 2018-2020'!A:J,6,FALSE)</f>
        <v>Hoti Frau</v>
      </c>
      <c r="F7" s="128"/>
      <c r="G7" s="128"/>
      <c r="H7" s="131"/>
      <c r="I7" s="132"/>
      <c r="O7" s="142"/>
    </row>
    <row r="8" spans="1:29" ht="25" customHeight="1" x14ac:dyDescent="0.2">
      <c r="A8" s="126" t="s">
        <v>848</v>
      </c>
      <c r="B8" s="128"/>
      <c r="C8" s="128" t="str">
        <f>VLOOKUP(C1,'Aufträge 2018-2020'!A:J,8,FALSE)</f>
        <v>HS</v>
      </c>
      <c r="D8" s="130" t="s">
        <v>849</v>
      </c>
      <c r="E8" s="139" t="s">
        <v>2479</v>
      </c>
      <c r="F8" s="138"/>
      <c r="G8" s="138"/>
      <c r="H8" s="131"/>
      <c r="I8" s="131"/>
      <c r="O8" s="142"/>
      <c r="AC8" s="91"/>
    </row>
    <row r="9" spans="1:29" ht="25" customHeight="1" x14ac:dyDescent="0.2">
      <c r="A9" s="126" t="s">
        <v>850</v>
      </c>
      <c r="B9" s="131"/>
      <c r="C9" s="128" t="str">
        <f>VLOOKUP(C1,'Aufträge 2018-2020'!A:J,9,FALSE)</f>
        <v>Immerath</v>
      </c>
      <c r="D9" s="131"/>
      <c r="E9" s="138"/>
      <c r="F9" s="131"/>
      <c r="G9" s="131"/>
      <c r="H9" s="130" t="s">
        <v>851</v>
      </c>
      <c r="I9" s="133">
        <f>VLOOKUP(C1,'Aufträge 2018-2020'!A:J,2,FALSE)</f>
        <v>44113</v>
      </c>
    </row>
    <row r="10" spans="1:29" x14ac:dyDescent="0.2">
      <c r="A10" s="134"/>
      <c r="B10" s="131"/>
      <c r="C10" s="131"/>
      <c r="D10" s="131"/>
      <c r="E10" s="131"/>
      <c r="F10" s="131"/>
      <c r="G10" s="131"/>
      <c r="H10" s="131"/>
      <c r="I10" s="131"/>
    </row>
    <row r="11" spans="1:29" ht="16" x14ac:dyDescent="0.2">
      <c r="A11" s="79" t="s">
        <v>852</v>
      </c>
    </row>
    <row r="12" spans="1:29" ht="19" x14ac:dyDescent="0.2">
      <c r="A12" s="153" t="str">
        <f>VLOOKUP(C1,'Aufträge 2018-2020'!A:J,7,FALSE)</f>
        <v>Bad Prüfung auf Leckage - Wasserschaden</v>
      </c>
      <c r="B12" s="153"/>
      <c r="C12" s="153"/>
      <c r="D12" s="153"/>
      <c r="E12" s="153"/>
      <c r="F12" s="153"/>
      <c r="G12" s="153"/>
      <c r="H12" s="153"/>
      <c r="I12" s="153"/>
    </row>
    <row r="13" spans="1:29" ht="18.75" customHeight="1" x14ac:dyDescent="0.2">
      <c r="A13" s="154" t="s">
        <v>2468</v>
      </c>
      <c r="B13" s="154"/>
      <c r="C13" s="154"/>
      <c r="D13" s="154"/>
      <c r="E13" s="154"/>
      <c r="F13" s="154"/>
      <c r="G13" s="154"/>
      <c r="H13" s="154"/>
      <c r="I13" s="154"/>
    </row>
    <row r="14" spans="1:29" ht="18" customHeight="1" x14ac:dyDescent="0.2">
      <c r="A14" s="154"/>
      <c r="B14" s="154"/>
      <c r="C14" s="154"/>
      <c r="D14" s="154"/>
      <c r="E14" s="154"/>
      <c r="F14" s="154"/>
      <c r="G14" s="154"/>
      <c r="H14" s="154"/>
      <c r="I14" s="154"/>
    </row>
    <row r="15" spans="1:29" ht="16.5" customHeight="1" x14ac:dyDescent="0.2">
      <c r="A15" s="154"/>
      <c r="B15" s="154"/>
      <c r="C15" s="154"/>
      <c r="D15" s="154"/>
      <c r="E15" s="154"/>
      <c r="F15" s="154"/>
      <c r="G15" s="154"/>
      <c r="H15" s="154"/>
      <c r="I15" s="154"/>
      <c r="L15" t="s">
        <v>853</v>
      </c>
    </row>
    <row r="16" spans="1:29" ht="18.75" customHeight="1" x14ac:dyDescent="0.2">
      <c r="A16" s="154"/>
      <c r="B16" s="154"/>
      <c r="C16" s="154"/>
      <c r="D16" s="154"/>
      <c r="E16" s="154"/>
      <c r="F16" s="154"/>
      <c r="G16" s="154"/>
      <c r="H16" s="154"/>
      <c r="I16" s="154"/>
    </row>
    <row r="17" spans="1:22" s="90" customFormat="1" ht="84" customHeight="1" x14ac:dyDescent="0.2">
      <c r="A17" s="154"/>
      <c r="B17" s="154"/>
      <c r="C17" s="154"/>
      <c r="D17" s="154"/>
      <c r="E17" s="154"/>
      <c r="F17" s="154"/>
      <c r="G17" s="154"/>
      <c r="H17" s="154"/>
      <c r="I17" s="154"/>
    </row>
    <row r="18" spans="1:22" s="90" customFormat="1" ht="25" customHeight="1" x14ac:dyDescent="0.2">
      <c r="A18" s="82" t="s">
        <v>854</v>
      </c>
      <c r="B18"/>
      <c r="C18"/>
      <c r="D18" s="92" t="s">
        <v>855</v>
      </c>
      <c r="E18"/>
      <c r="F18"/>
      <c r="G18"/>
      <c r="H18" s="92" t="s">
        <v>856</v>
      </c>
      <c r="I18"/>
      <c r="L18" s="90" t="s">
        <v>857</v>
      </c>
      <c r="M18" t="s">
        <v>858</v>
      </c>
    </row>
    <row r="19" spans="1:22" x14ac:dyDescent="0.2">
      <c r="A19" s="83" t="s">
        <v>859</v>
      </c>
      <c r="M19" t="str">
        <f>IF(R53=R55,"","h.scheulen@loechner-immo.de")</f>
        <v/>
      </c>
      <c r="V19" s="92"/>
    </row>
    <row r="20" spans="1:22" ht="16" x14ac:dyDescent="0.2">
      <c r="A20" s="89" t="s">
        <v>860</v>
      </c>
      <c r="B20" s="90"/>
      <c r="C20" s="90"/>
      <c r="D20" s="90" t="s">
        <v>861</v>
      </c>
      <c r="E20" s="90"/>
      <c r="F20" s="90"/>
      <c r="G20" s="90"/>
      <c r="H20" s="90" t="s">
        <v>862</v>
      </c>
      <c r="I20" s="90"/>
      <c r="M20" t="str">
        <f>IF(C9=0,"Kein Empfänger spezifiziert",IFERROR(VLOOKUP(C9,A57:C1000,3,FALSE),"Email von "&amp;C9&amp;" nachschauen"))</f>
        <v>info@immerath-gmbh.de</v>
      </c>
    </row>
    <row r="21" spans="1:22" ht="16" x14ac:dyDescent="0.2">
      <c r="A21" s="89" t="s">
        <v>860</v>
      </c>
      <c r="B21" s="90"/>
      <c r="C21" s="90"/>
      <c r="D21" s="90" t="s">
        <v>861</v>
      </c>
      <c r="E21" s="90"/>
      <c r="F21" s="90"/>
      <c r="G21" s="90"/>
      <c r="H21" s="90" t="s">
        <v>862</v>
      </c>
      <c r="I21" s="90"/>
      <c r="M21" t="str">
        <f>IFERROR(VLOOKUP(VLOOKUP(B6,'Objekt Aufstellung'!A2:E51,5,FALSE),A57:C119,3,FALSE),"Objektnummer falsch oder nicht vorhanden")</f>
        <v>c.schlenke@athome-immo.de</v>
      </c>
    </row>
    <row r="22" spans="1:22" x14ac:dyDescent="0.2">
      <c r="A22" s="85"/>
    </row>
    <row r="23" spans="1:22" x14ac:dyDescent="0.2">
      <c r="A23" s="85"/>
    </row>
    <row r="24" spans="1:22" ht="16" x14ac:dyDescent="0.2">
      <c r="A24" s="79" t="s">
        <v>863</v>
      </c>
      <c r="L24" s="143" t="s">
        <v>864</v>
      </c>
      <c r="M24" s="144"/>
      <c r="N24" s="145"/>
      <c r="O24" s="145"/>
      <c r="P24" s="146"/>
    </row>
    <row r="25" spans="1:22" ht="9.75" customHeight="1" x14ac:dyDescent="0.2">
      <c r="A25" s="86"/>
      <c r="L25" s="143"/>
      <c r="M25" s="147"/>
      <c r="N25" s="148"/>
      <c r="O25" s="148"/>
      <c r="P25" s="149"/>
    </row>
    <row r="26" spans="1:22" hidden="1" x14ac:dyDescent="0.2">
      <c r="A26" s="86"/>
      <c r="L26" s="143"/>
      <c r="M26" s="150"/>
      <c r="N26" s="151"/>
      <c r="O26" s="151"/>
      <c r="P26" s="152"/>
    </row>
    <row r="27" spans="1:22" hidden="1" x14ac:dyDescent="0.2">
      <c r="A27" s="85"/>
    </row>
    <row r="28" spans="1:22" hidden="1" x14ac:dyDescent="0.2">
      <c r="A28" s="86"/>
    </row>
    <row r="29" spans="1:22" hidden="1" x14ac:dyDescent="0.2">
      <c r="A29" s="85"/>
      <c r="L29" t="s">
        <v>865</v>
      </c>
      <c r="M29" s="140"/>
      <c r="N29" s="141"/>
      <c r="O29" s="141"/>
      <c r="P29" s="141"/>
    </row>
    <row r="30" spans="1:22" hidden="1" x14ac:dyDescent="0.2">
      <c r="A30" s="85"/>
    </row>
    <row r="31" spans="1:22" hidden="1" x14ac:dyDescent="0.2">
      <c r="A31" s="85"/>
    </row>
    <row r="32" spans="1:22" ht="16" x14ac:dyDescent="0.2">
      <c r="A32" s="82" t="s">
        <v>866</v>
      </c>
    </row>
    <row r="33" spans="1:1" x14ac:dyDescent="0.2">
      <c r="A33" s="85"/>
    </row>
    <row r="34" spans="1:1" ht="16" x14ac:dyDescent="0.2">
      <c r="A34" s="82" t="s">
        <v>867</v>
      </c>
    </row>
    <row r="35" spans="1:1" ht="16" x14ac:dyDescent="0.2">
      <c r="A35" s="84"/>
    </row>
    <row r="36" spans="1:1" ht="16" x14ac:dyDescent="0.2">
      <c r="A36" s="84"/>
    </row>
    <row r="37" spans="1:1" ht="16" x14ac:dyDescent="0.2">
      <c r="A37" s="84"/>
    </row>
    <row r="53" spans="1:24" x14ac:dyDescent="0.2">
      <c r="R53" s="135" t="s">
        <v>868</v>
      </c>
      <c r="S53" s="97" t="str">
        <f>VLOOKUP(R53,R54:S57,2,FALSE)</f>
        <v>Herrmann Scheulen</v>
      </c>
      <c r="T53" s="97" t="str">
        <f>VLOOKUP(R53,R54:T57,3,FALSE)</f>
        <v>Tel. 0211 522884-13</v>
      </c>
      <c r="U53" s="97" t="str">
        <f>IF(VLOOKUP(R53,R54:U57,4,FALSE)=0,"",VLOOKUP(R53,R54:U57,4,FALSE))</f>
        <v>Mobile: 0151-151 551 02</v>
      </c>
      <c r="V53" s="99" t="str">
        <f>VLOOKUP(R53,R54:V57,5,FALSE)</f>
        <v>h.scheulen@loechner-immo.de</v>
      </c>
      <c r="X53" s="97" t="str">
        <f>VLOOKUP(R53,R54:X57,7,FALSE)</f>
        <v>H.Scheulen</v>
      </c>
    </row>
    <row r="54" spans="1:24" x14ac:dyDescent="0.2">
      <c r="R54" s="97" t="s">
        <v>869</v>
      </c>
      <c r="S54" s="98" t="s">
        <v>870</v>
      </c>
      <c r="T54" s="97" t="s">
        <v>871</v>
      </c>
      <c r="U54" s="97"/>
      <c r="V54" s="99" t="s">
        <v>872</v>
      </c>
      <c r="X54" s="97" t="s">
        <v>873</v>
      </c>
    </row>
    <row r="55" spans="1:24" x14ac:dyDescent="0.2">
      <c r="R55" s="97" t="s">
        <v>868</v>
      </c>
      <c r="S55" s="98" t="s">
        <v>874</v>
      </c>
      <c r="T55" s="97" t="s">
        <v>875</v>
      </c>
      <c r="U55" s="97" t="s">
        <v>876</v>
      </c>
      <c r="V55" s="99" t="s">
        <v>877</v>
      </c>
      <c r="X55" s="97" t="s">
        <v>878</v>
      </c>
    </row>
    <row r="56" spans="1:24" x14ac:dyDescent="0.2">
      <c r="A56" t="s">
        <v>879</v>
      </c>
      <c r="C56" t="s">
        <v>880</v>
      </c>
      <c r="I56" t="s">
        <v>881</v>
      </c>
      <c r="R56" s="97" t="s">
        <v>882</v>
      </c>
      <c r="S56" s="98" t="s">
        <v>883</v>
      </c>
      <c r="T56" s="97" t="s">
        <v>884</v>
      </c>
      <c r="U56" s="97"/>
      <c r="V56" s="99" t="s">
        <v>885</v>
      </c>
      <c r="X56" s="97" t="s">
        <v>886</v>
      </c>
    </row>
    <row r="57" spans="1:24" x14ac:dyDescent="0.2">
      <c r="A57" s="28" t="s">
        <v>13</v>
      </c>
      <c r="C57" s="93" t="s">
        <v>877</v>
      </c>
      <c r="I57">
        <v>318</v>
      </c>
      <c r="R57" s="97" t="s">
        <v>887</v>
      </c>
      <c r="S57" s="98" t="s">
        <v>888</v>
      </c>
      <c r="T57" s="97" t="s">
        <v>889</v>
      </c>
      <c r="V57" s="99" t="s">
        <v>890</v>
      </c>
      <c r="X57" s="97" t="s">
        <v>891</v>
      </c>
    </row>
    <row r="58" spans="1:24" x14ac:dyDescent="0.2">
      <c r="A58" s="28" t="s">
        <v>14</v>
      </c>
      <c r="C58" s="93" t="s">
        <v>892</v>
      </c>
      <c r="I58">
        <v>174</v>
      </c>
    </row>
    <row r="59" spans="1:24" x14ac:dyDescent="0.2">
      <c r="A59" s="28" t="s">
        <v>23</v>
      </c>
      <c r="C59" s="93" t="s">
        <v>872</v>
      </c>
      <c r="I59">
        <v>106</v>
      </c>
    </row>
    <row r="60" spans="1:24" x14ac:dyDescent="0.2">
      <c r="A60" s="28" t="s">
        <v>58</v>
      </c>
      <c r="C60" s="93" t="s">
        <v>872</v>
      </c>
      <c r="I60">
        <f>COUNTIF('Aufträge 2018-2020'!H:I,"KW")</f>
        <v>115</v>
      </c>
    </row>
    <row r="61" spans="1:24" x14ac:dyDescent="0.2">
      <c r="A61" s="28" t="s">
        <v>119</v>
      </c>
      <c r="C61" s="93" t="s">
        <v>893</v>
      </c>
      <c r="I61">
        <v>73</v>
      </c>
    </row>
    <row r="62" spans="1:24" x14ac:dyDescent="0.2">
      <c r="A62" s="28" t="s">
        <v>181</v>
      </c>
      <c r="C62" s="93" t="s">
        <v>894</v>
      </c>
      <c r="I62">
        <v>71</v>
      </c>
    </row>
    <row r="63" spans="1:24" x14ac:dyDescent="0.2">
      <c r="A63" s="28" t="s">
        <v>19</v>
      </c>
      <c r="C63" s="93" t="s">
        <v>895</v>
      </c>
      <c r="I63">
        <v>37</v>
      </c>
    </row>
    <row r="64" spans="1:24" x14ac:dyDescent="0.2">
      <c r="A64" s="28" t="s">
        <v>48</v>
      </c>
      <c r="C64" s="93" t="s">
        <v>896</v>
      </c>
      <c r="I64">
        <v>27</v>
      </c>
    </row>
    <row r="65" spans="1:9" x14ac:dyDescent="0.2">
      <c r="A65" s="28" t="s">
        <v>30</v>
      </c>
      <c r="C65" s="93" t="s">
        <v>897</v>
      </c>
      <c r="I65">
        <v>17</v>
      </c>
    </row>
    <row r="66" spans="1:9" x14ac:dyDescent="0.2">
      <c r="A66" s="28" t="s">
        <v>200</v>
      </c>
      <c r="C66" s="93" t="s">
        <v>898</v>
      </c>
      <c r="I66">
        <v>12</v>
      </c>
    </row>
    <row r="67" spans="1:9" x14ac:dyDescent="0.2">
      <c r="A67" s="28" t="s">
        <v>543</v>
      </c>
      <c r="C67" s="93" t="s">
        <v>899</v>
      </c>
      <c r="I67">
        <v>12</v>
      </c>
    </row>
    <row r="68" spans="1:9" x14ac:dyDescent="0.2">
      <c r="A68" s="28" t="s">
        <v>900</v>
      </c>
      <c r="C68" s="93" t="s">
        <v>901</v>
      </c>
      <c r="I68">
        <v>11</v>
      </c>
    </row>
    <row r="69" spans="1:9" x14ac:dyDescent="0.2">
      <c r="A69" s="28" t="s">
        <v>411</v>
      </c>
      <c r="C69" s="93" t="s">
        <v>902</v>
      </c>
      <c r="I69">
        <v>10</v>
      </c>
    </row>
    <row r="70" spans="1:9" x14ac:dyDescent="0.2">
      <c r="A70" s="28" t="s">
        <v>145</v>
      </c>
      <c r="C70" t="e">
        <v>#N/A</v>
      </c>
      <c r="I70">
        <v>10</v>
      </c>
    </row>
    <row r="71" spans="1:9" x14ac:dyDescent="0.2">
      <c r="A71" s="28" t="s">
        <v>312</v>
      </c>
      <c r="C71" s="93" t="s">
        <v>903</v>
      </c>
      <c r="I71">
        <v>10</v>
      </c>
    </row>
    <row r="72" spans="1:9" x14ac:dyDescent="0.2">
      <c r="A72" s="28" t="s">
        <v>76</v>
      </c>
      <c r="C72" s="93" t="s">
        <v>904</v>
      </c>
      <c r="I72">
        <v>10</v>
      </c>
    </row>
    <row r="73" spans="1:9" x14ac:dyDescent="0.2">
      <c r="A73" s="28" t="s">
        <v>706</v>
      </c>
      <c r="C73" s="93" t="s">
        <v>905</v>
      </c>
      <c r="I73">
        <v>10</v>
      </c>
    </row>
    <row r="74" spans="1:9" x14ac:dyDescent="0.2">
      <c r="A74" s="28" t="s">
        <v>306</v>
      </c>
      <c r="C74" s="93" t="s">
        <v>906</v>
      </c>
      <c r="I74">
        <v>9</v>
      </c>
    </row>
    <row r="75" spans="1:9" x14ac:dyDescent="0.2">
      <c r="A75" s="28" t="s">
        <v>45</v>
      </c>
      <c r="C75" s="93" t="s">
        <v>907</v>
      </c>
      <c r="I75">
        <v>7</v>
      </c>
    </row>
    <row r="76" spans="1:9" x14ac:dyDescent="0.2">
      <c r="A76" s="28" t="s">
        <v>84</v>
      </c>
      <c r="C76" s="93" t="s">
        <v>908</v>
      </c>
      <c r="I76">
        <v>6</v>
      </c>
    </row>
    <row r="77" spans="1:9" x14ac:dyDescent="0.2">
      <c r="A77" s="28" t="s">
        <v>136</v>
      </c>
      <c r="C77" t="e">
        <v>#N/A</v>
      </c>
      <c r="I77">
        <v>6</v>
      </c>
    </row>
    <row r="78" spans="1:9" x14ac:dyDescent="0.2">
      <c r="A78" s="28" t="s">
        <v>423</v>
      </c>
      <c r="C78" t="e">
        <v>#N/A</v>
      </c>
      <c r="I78">
        <v>6</v>
      </c>
    </row>
    <row r="79" spans="1:9" x14ac:dyDescent="0.2">
      <c r="A79" s="28" t="s">
        <v>909</v>
      </c>
      <c r="C79" t="e">
        <v>#N/A</v>
      </c>
      <c r="I79">
        <v>5</v>
      </c>
    </row>
    <row r="80" spans="1:9" x14ac:dyDescent="0.2">
      <c r="A80" s="28" t="s">
        <v>93</v>
      </c>
      <c r="C80" s="93" t="s">
        <v>910</v>
      </c>
      <c r="I80">
        <v>4</v>
      </c>
    </row>
    <row r="81" spans="1:9" x14ac:dyDescent="0.2">
      <c r="A81" s="28" t="s">
        <v>104</v>
      </c>
      <c r="C81" s="93" t="s">
        <v>911</v>
      </c>
      <c r="I81">
        <v>4</v>
      </c>
    </row>
    <row r="82" spans="1:9" x14ac:dyDescent="0.2">
      <c r="A82" s="28" t="s">
        <v>167</v>
      </c>
      <c r="C82" s="93" t="s">
        <v>912</v>
      </c>
      <c r="I82">
        <v>4</v>
      </c>
    </row>
    <row r="83" spans="1:9" x14ac:dyDescent="0.2">
      <c r="A83" s="28" t="s">
        <v>329</v>
      </c>
      <c r="C83" s="93" t="s">
        <v>913</v>
      </c>
      <c r="I83">
        <v>4</v>
      </c>
    </row>
    <row r="84" spans="1:9" x14ac:dyDescent="0.2">
      <c r="A84" s="28" t="s">
        <v>914</v>
      </c>
      <c r="C84" s="93" t="s">
        <v>915</v>
      </c>
      <c r="I84">
        <v>4</v>
      </c>
    </row>
    <row r="85" spans="1:9" x14ac:dyDescent="0.2">
      <c r="A85" s="28" t="s">
        <v>232</v>
      </c>
      <c r="C85" t="e">
        <v>#N/A</v>
      </c>
      <c r="I85">
        <v>3</v>
      </c>
    </row>
    <row r="86" spans="1:9" x14ac:dyDescent="0.2">
      <c r="A86" s="28" t="s">
        <v>386</v>
      </c>
      <c r="C86" s="93" t="s">
        <v>894</v>
      </c>
      <c r="I86">
        <v>3</v>
      </c>
    </row>
    <row r="87" spans="1:9" x14ac:dyDescent="0.2">
      <c r="A87" s="28" t="s">
        <v>916</v>
      </c>
      <c r="C87" t="e">
        <v>#N/A</v>
      </c>
      <c r="I87">
        <v>3</v>
      </c>
    </row>
    <row r="88" spans="1:9" x14ac:dyDescent="0.2">
      <c r="A88" s="28" t="s">
        <v>917</v>
      </c>
      <c r="C88" s="93" t="s">
        <v>906</v>
      </c>
      <c r="I88">
        <v>2</v>
      </c>
    </row>
    <row r="89" spans="1:9" x14ac:dyDescent="0.2">
      <c r="A89" s="28" t="s">
        <v>272</v>
      </c>
      <c r="C89" s="93" t="s">
        <v>918</v>
      </c>
      <c r="I89">
        <v>2</v>
      </c>
    </row>
    <row r="90" spans="1:9" x14ac:dyDescent="0.2">
      <c r="A90" s="28" t="s">
        <v>436</v>
      </c>
      <c r="C90" s="93" t="s">
        <v>919</v>
      </c>
      <c r="I90">
        <v>2</v>
      </c>
    </row>
    <row r="91" spans="1:9" x14ac:dyDescent="0.2">
      <c r="A91" s="28" t="s">
        <v>483</v>
      </c>
      <c r="C91" t="e">
        <v>#N/A</v>
      </c>
      <c r="I91">
        <v>2</v>
      </c>
    </row>
    <row r="92" spans="1:9" x14ac:dyDescent="0.2">
      <c r="A92" s="28" t="s">
        <v>540</v>
      </c>
      <c r="C92" t="e">
        <v>#N/A</v>
      </c>
      <c r="I92">
        <v>2</v>
      </c>
    </row>
    <row r="93" spans="1:9" x14ac:dyDescent="0.2">
      <c r="A93" s="28" t="s">
        <v>920</v>
      </c>
      <c r="C93" t="e">
        <v>#N/A</v>
      </c>
      <c r="I93">
        <v>2</v>
      </c>
    </row>
    <row r="94" spans="1:9" x14ac:dyDescent="0.2">
      <c r="A94" s="28" t="s">
        <v>921</v>
      </c>
      <c r="C94" t="e">
        <v>#N/A</v>
      </c>
      <c r="I94">
        <v>2</v>
      </c>
    </row>
    <row r="95" spans="1:9" x14ac:dyDescent="0.2">
      <c r="A95" s="28" t="s">
        <v>297</v>
      </c>
      <c r="C95" s="93" t="s">
        <v>906</v>
      </c>
      <c r="I95">
        <v>1</v>
      </c>
    </row>
    <row r="96" spans="1:9" x14ac:dyDescent="0.2">
      <c r="A96" s="28" t="s">
        <v>362</v>
      </c>
      <c r="C96" s="93" t="s">
        <v>906</v>
      </c>
      <c r="I96">
        <v>1</v>
      </c>
    </row>
    <row r="97" spans="1:9" x14ac:dyDescent="0.2">
      <c r="A97" s="28" t="s">
        <v>922</v>
      </c>
      <c r="C97" s="93" t="s">
        <v>923</v>
      </c>
      <c r="I97">
        <v>1</v>
      </c>
    </row>
    <row r="98" spans="1:9" x14ac:dyDescent="0.2">
      <c r="A98" s="28" t="s">
        <v>924</v>
      </c>
      <c r="C98" s="93" t="s">
        <v>925</v>
      </c>
      <c r="I98">
        <v>1</v>
      </c>
    </row>
    <row r="99" spans="1:9" x14ac:dyDescent="0.2">
      <c r="A99" s="28" t="s">
        <v>24</v>
      </c>
      <c r="C99" t="e">
        <v>#N/A</v>
      </c>
      <c r="I99">
        <v>1</v>
      </c>
    </row>
    <row r="100" spans="1:9" x14ac:dyDescent="0.2">
      <c r="A100" s="28" t="s">
        <v>53</v>
      </c>
      <c r="C100" t="e">
        <v>#N/A</v>
      </c>
      <c r="I100">
        <v>1</v>
      </c>
    </row>
    <row r="101" spans="1:9" x14ac:dyDescent="0.2">
      <c r="A101" s="28" t="s">
        <v>71</v>
      </c>
      <c r="C101" t="e">
        <v>#N/A</v>
      </c>
      <c r="I101">
        <v>1</v>
      </c>
    </row>
    <row r="102" spans="1:9" x14ac:dyDescent="0.2">
      <c r="A102" s="28" t="s">
        <v>45</v>
      </c>
      <c r="C102" t="e">
        <v>#N/A</v>
      </c>
      <c r="I102">
        <v>1</v>
      </c>
    </row>
    <row r="103" spans="1:9" x14ac:dyDescent="0.2">
      <c r="A103" s="28" t="s">
        <v>231</v>
      </c>
      <c r="C103" t="e">
        <v>#N/A</v>
      </c>
      <c r="I103">
        <v>1</v>
      </c>
    </row>
    <row r="104" spans="1:9" x14ac:dyDescent="0.2">
      <c r="A104" s="28" t="s">
        <v>331</v>
      </c>
      <c r="C104" t="e">
        <v>#N/A</v>
      </c>
      <c r="I104">
        <v>1</v>
      </c>
    </row>
    <row r="105" spans="1:9" x14ac:dyDescent="0.2">
      <c r="A105" s="28" t="s">
        <v>360</v>
      </c>
      <c r="C105" t="e">
        <v>#N/A</v>
      </c>
      <c r="I105">
        <v>1</v>
      </c>
    </row>
    <row r="106" spans="1:9" x14ac:dyDescent="0.2">
      <c r="A106" s="28" t="s">
        <v>926</v>
      </c>
      <c r="C106" t="e">
        <v>#N/A</v>
      </c>
      <c r="I106">
        <v>1</v>
      </c>
    </row>
    <row r="107" spans="1:9" x14ac:dyDescent="0.2">
      <c r="A107" s="28" t="s">
        <v>286</v>
      </c>
      <c r="C107" t="e">
        <v>#N/A</v>
      </c>
      <c r="I107">
        <v>1</v>
      </c>
    </row>
    <row r="108" spans="1:9" x14ac:dyDescent="0.2">
      <c r="A108" s="28" t="s">
        <v>546</v>
      </c>
      <c r="C108" t="e">
        <v>#N/A</v>
      </c>
      <c r="I108">
        <v>1</v>
      </c>
    </row>
    <row r="109" spans="1:9" x14ac:dyDescent="0.2">
      <c r="A109" s="28" t="s">
        <v>656</v>
      </c>
      <c r="C109" t="e">
        <v>#N/A</v>
      </c>
      <c r="I109">
        <v>1</v>
      </c>
    </row>
    <row r="110" spans="1:9" x14ac:dyDescent="0.2">
      <c r="A110" s="28" t="s">
        <v>683</v>
      </c>
      <c r="C110" t="e">
        <v>#N/A</v>
      </c>
      <c r="I110">
        <v>1</v>
      </c>
    </row>
    <row r="111" spans="1:9" x14ac:dyDescent="0.2">
      <c r="A111" s="28" t="s">
        <v>739</v>
      </c>
      <c r="C111" t="e">
        <v>#N/A</v>
      </c>
      <c r="I111">
        <v>1</v>
      </c>
    </row>
    <row r="112" spans="1:9" x14ac:dyDescent="0.2">
      <c r="A112" s="28" t="s">
        <v>927</v>
      </c>
      <c r="C112" t="e">
        <v>#N/A</v>
      </c>
      <c r="I112">
        <v>1</v>
      </c>
    </row>
    <row r="113" spans="1:9" x14ac:dyDescent="0.2">
      <c r="A113" s="28" t="s">
        <v>928</v>
      </c>
      <c r="C113" t="e">
        <v>#N/A</v>
      </c>
      <c r="I113">
        <v>1</v>
      </c>
    </row>
    <row r="114" spans="1:9" x14ac:dyDescent="0.2">
      <c r="A114" s="28" t="s">
        <v>929</v>
      </c>
      <c r="C114" t="e">
        <v>#N/A</v>
      </c>
      <c r="I114">
        <v>1</v>
      </c>
    </row>
    <row r="115" spans="1:9" x14ac:dyDescent="0.2">
      <c r="A115" s="28" t="s">
        <v>763</v>
      </c>
      <c r="C115" t="e">
        <v>#N/A</v>
      </c>
      <c r="I115">
        <v>1</v>
      </c>
    </row>
    <row r="116" spans="1:9" x14ac:dyDescent="0.2">
      <c r="A116" s="28" t="s">
        <v>930</v>
      </c>
      <c r="C116" t="e">
        <v>#N/A</v>
      </c>
      <c r="I116">
        <v>1</v>
      </c>
    </row>
    <row r="117" spans="1:9" x14ac:dyDescent="0.2">
      <c r="A117" s="28" t="s">
        <v>931</v>
      </c>
      <c r="C117" t="e">
        <v>#N/A</v>
      </c>
      <c r="I117">
        <v>1</v>
      </c>
    </row>
    <row r="118" spans="1:9" x14ac:dyDescent="0.2">
      <c r="A118" s="28" t="s">
        <v>932</v>
      </c>
      <c r="C118" t="e">
        <v>#N/A</v>
      </c>
      <c r="I118">
        <v>1</v>
      </c>
    </row>
    <row r="119" spans="1:9" x14ac:dyDescent="0.2">
      <c r="A119" s="28" t="s">
        <v>933</v>
      </c>
      <c r="C119" t="e">
        <v>#N/A</v>
      </c>
      <c r="I119">
        <v>1</v>
      </c>
    </row>
  </sheetData>
  <sheetProtection formatCells="0" formatColumns="0" deleteColumns="0" deleteRows="0" selectLockedCells="1"/>
  <mergeCells count="7">
    <mergeCell ref="C1:D1"/>
    <mergeCell ref="M29:P29"/>
    <mergeCell ref="O7:O8"/>
    <mergeCell ref="L24:L26"/>
    <mergeCell ref="M24:P26"/>
    <mergeCell ref="A12:I12"/>
    <mergeCell ref="A13:I17"/>
  </mergeCells>
  <conditionalFormatting sqref="M20:M21">
    <cfRule type="notContainsText" dxfId="3" priority="2" operator="notContains" text="@">
      <formula>ISERROR(SEARCH("@",M20))</formula>
    </cfRule>
  </conditionalFormatting>
  <conditionalFormatting sqref="E6">
    <cfRule type="containsText" dxfId="2" priority="1" operator="containsText" text="!">
      <formula>NOT(ISERROR(SEARCH("!",E6)))</formula>
    </cfRule>
  </conditionalFormatting>
  <dataValidations count="1">
    <dataValidation type="date" operator="greaterThan" allowBlank="1" showInputMessage="1" showErrorMessage="1" sqref="M29:P29" xr:uid="{00000000-0002-0000-0400-000000000000}">
      <formula1>TODAY()</formula1>
    </dataValidation>
  </dataValidations>
  <hyperlinks>
    <hyperlink ref="C60" r:id="rId1" xr:uid="{00000000-0004-0000-0400-000000000000}"/>
    <hyperlink ref="C58" r:id="rId2" xr:uid="{00000000-0004-0000-0400-000001000000}"/>
    <hyperlink ref="C61" r:id="rId3" xr:uid="{00000000-0004-0000-0400-000002000000}"/>
    <hyperlink ref="C59" r:id="rId4" xr:uid="{00000000-0004-0000-0400-000003000000}"/>
    <hyperlink ref="C57" r:id="rId5" xr:uid="{00000000-0004-0000-0400-000004000000}"/>
    <hyperlink ref="C95" r:id="rId6" display="info@areal-property.de" xr:uid="{00000000-0004-0000-0400-000005000000}"/>
    <hyperlink ref="C74" r:id="rId7" display="info@areal-property.de" xr:uid="{00000000-0004-0000-0400-000006000000}"/>
    <hyperlink ref="C96" r:id="rId8" display="info@areal-property.de" xr:uid="{00000000-0004-0000-0400-000007000000}"/>
    <hyperlink ref="C69" r:id="rId9" xr:uid="{00000000-0004-0000-0400-000008000000}"/>
    <hyperlink ref="C88" r:id="rId10" display="info@areal-property.de" xr:uid="{00000000-0004-0000-0400-000009000000}"/>
    <hyperlink ref="C98" r:id="rId11" display="timhentschel38@gmail.com; " xr:uid="{00000000-0004-0000-0400-00000A000000}"/>
    <hyperlink ref="C63" r:id="rId12" xr:uid="{00000000-0004-0000-0400-00000B000000}"/>
    <hyperlink ref="C62" r:id="rId13" xr:uid="{00000000-0004-0000-0400-00000C000000}"/>
    <hyperlink ref="C66" r:id="rId14" xr:uid="{00000000-0004-0000-0400-00000D000000}"/>
    <hyperlink ref="C67" r:id="rId15" xr:uid="{00000000-0004-0000-0400-00000E000000}"/>
    <hyperlink ref="C71" r:id="rId16" xr:uid="{00000000-0004-0000-0400-00000F000000}"/>
    <hyperlink ref="C72" r:id="rId17" xr:uid="{00000000-0004-0000-0400-000010000000}"/>
    <hyperlink ref="C76" r:id="rId18" xr:uid="{00000000-0004-0000-0400-000011000000}"/>
    <hyperlink ref="C80" r:id="rId19" xr:uid="{00000000-0004-0000-0400-000012000000}"/>
    <hyperlink ref="C81" r:id="rId20" xr:uid="{00000000-0004-0000-0400-000013000000}"/>
    <hyperlink ref="C82" r:id="rId21" xr:uid="{00000000-0004-0000-0400-000014000000}"/>
    <hyperlink ref="C83" r:id="rId22" xr:uid="{00000000-0004-0000-0400-000015000000}"/>
    <hyperlink ref="C84" r:id="rId23" xr:uid="{00000000-0004-0000-0400-000016000000}"/>
    <hyperlink ref="C86" r:id="rId24" xr:uid="{00000000-0004-0000-0400-000017000000}"/>
    <hyperlink ref="C89" r:id="rId25" xr:uid="{00000000-0004-0000-0400-000018000000}"/>
    <hyperlink ref="C90" r:id="rId26" xr:uid="{00000000-0004-0000-0400-000019000000}"/>
    <hyperlink ref="M18" r:id="rId27" xr:uid="{00000000-0004-0000-0400-00001A000000}"/>
    <hyperlink ref="C73" r:id="rId28" xr:uid="{00000000-0004-0000-0400-00001B000000}"/>
    <hyperlink ref="V56" r:id="rId29" xr:uid="{00000000-0004-0000-0400-00001C000000}"/>
    <hyperlink ref="V54" r:id="rId30" xr:uid="{00000000-0004-0000-0400-00001D000000}"/>
    <hyperlink ref="V55" r:id="rId31" xr:uid="{00000000-0004-0000-0400-00001E000000}"/>
    <hyperlink ref="V57" r:id="rId32" xr:uid="{00000000-0004-0000-0400-00001F000000}"/>
  </hyperlinks>
  <pageMargins left="0.82677165354330717" right="0.23622047244094491" top="0.74803149606299213" bottom="0.74803149606299213" header="0.31496062992125984" footer="0.31496062992125984"/>
  <pageSetup paperSize="9" orientation="portrait" r:id="rId33"/>
  <drawing r:id="rId3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tabColor rgb="FFFFC000"/>
    <pageSetUpPr fitToPage="1"/>
  </sheetPr>
  <dimension ref="A1:AC121"/>
  <sheetViews>
    <sheetView showGridLines="0" tabSelected="1" zoomScaleNormal="100" workbookViewId="0">
      <selection activeCell="C2" sqref="C2"/>
    </sheetView>
  </sheetViews>
  <sheetFormatPr baseColWidth="10" defaultColWidth="11.5" defaultRowHeight="15" x14ac:dyDescent="0.2"/>
  <cols>
    <col min="1" max="1" width="12" customWidth="1"/>
    <col min="2" max="2" width="7.33203125" customWidth="1"/>
    <col min="3" max="3" width="6.5" customWidth="1"/>
    <col min="4" max="4" width="9.5" customWidth="1"/>
    <col min="5" max="5" width="8.33203125" customWidth="1"/>
    <col min="6" max="6" width="3" customWidth="1"/>
    <col min="7" max="7" width="19.5" customWidth="1"/>
    <col min="8" max="8" width="8.5" customWidth="1"/>
    <col min="9" max="9" width="10.1640625" customWidth="1"/>
    <col min="12" max="12" width="23" customWidth="1"/>
    <col min="13" max="13" width="19.83203125" bestFit="1" customWidth="1"/>
    <col min="14" max="14" width="11.33203125" customWidth="1"/>
    <col min="15" max="15" width="20" bestFit="1" customWidth="1"/>
    <col min="16" max="17" width="19.6640625" bestFit="1" customWidth="1"/>
    <col min="18" max="19" width="20" bestFit="1" customWidth="1"/>
    <col min="20" max="20" width="19.33203125" bestFit="1" customWidth="1"/>
  </cols>
  <sheetData>
    <row r="1" spans="1:29" ht="21" customHeight="1" x14ac:dyDescent="0.25">
      <c r="A1" s="76" t="s">
        <v>934</v>
      </c>
      <c r="C1" s="1" t="s">
        <v>2341</v>
      </c>
      <c r="D1" s="1"/>
    </row>
    <row r="2" spans="1:29" ht="19" x14ac:dyDescent="0.2">
      <c r="A2" s="77"/>
    </row>
    <row r="4" spans="1:29" ht="16" x14ac:dyDescent="0.2">
      <c r="A4" s="79"/>
    </row>
    <row r="5" spans="1:29" x14ac:dyDescent="0.2">
      <c r="A5" s="80"/>
    </row>
    <row r="6" spans="1:29" ht="25" customHeight="1" x14ac:dyDescent="0.2">
      <c r="A6" s="79" t="s">
        <v>844</v>
      </c>
      <c r="B6" s="104">
        <f>VLOOKUP(C1,'Aufträge 2018-2020'!A:J,3,FALSE)</f>
        <v>2</v>
      </c>
      <c r="C6" s="78"/>
      <c r="D6" s="79" t="s">
        <v>845</v>
      </c>
      <c r="E6" s="78" t="str">
        <f>IFERROR(CONCATENATE(VLOOKUP(B6,'Objekt Aufstellung'!A2:B51,2),", ",VLOOKUP(B6,'Objekt Aufstellung'!A2:D51,3)," ",,VLOOKUP(B6,'Objekt Aufstellung'!A2:D51,4)),"Kein gültiger Auftrag!")</f>
        <v>Pfalzstraße 17, 40477 Düsseldorf</v>
      </c>
      <c r="F6" s="78"/>
      <c r="G6" s="78"/>
      <c r="H6" s="78"/>
      <c r="I6" s="78"/>
    </row>
    <row r="7" spans="1:29" ht="25" customHeight="1" x14ac:dyDescent="0.2">
      <c r="A7" s="79" t="s">
        <v>846</v>
      </c>
      <c r="B7" s="78" t="str">
        <f>VLOOKUP(C1,'Aufträge 2018-2020'!A:J,5,FALSE)</f>
        <v>Versuch</v>
      </c>
      <c r="C7" s="78"/>
      <c r="D7" s="87" t="s">
        <v>847</v>
      </c>
      <c r="E7" s="78" t="s">
        <v>2483</v>
      </c>
      <c r="F7" s="78"/>
      <c r="G7" s="78"/>
      <c r="H7" s="87"/>
      <c r="I7" s="78"/>
      <c r="O7" s="142"/>
    </row>
    <row r="8" spans="1:29" ht="25" customHeight="1" x14ac:dyDescent="0.2">
      <c r="A8" s="79" t="s">
        <v>935</v>
      </c>
      <c r="B8" s="156" t="s">
        <v>2479</v>
      </c>
      <c r="C8" s="157"/>
      <c r="D8" s="157"/>
      <c r="E8" s="157"/>
      <c r="F8" s="157"/>
      <c r="G8" s="157"/>
      <c r="H8" s="157"/>
      <c r="I8" s="157"/>
      <c r="O8" s="142"/>
      <c r="AC8" s="91"/>
    </row>
    <row r="9" spans="1:29" ht="25" customHeight="1" x14ac:dyDescent="0.2">
      <c r="A9" s="79" t="s">
        <v>848</v>
      </c>
      <c r="B9" s="78"/>
      <c r="C9" s="78" t="str">
        <f>VLOOKUP(C1,'Aufträge 2018-2020'!A:J,8,FALSE)</f>
        <v>HS</v>
      </c>
      <c r="D9" s="87" t="s">
        <v>850</v>
      </c>
      <c r="E9" s="78"/>
      <c r="F9" s="78" t="s">
        <v>200</v>
      </c>
      <c r="G9" s="78"/>
      <c r="H9" s="87" t="s">
        <v>851</v>
      </c>
      <c r="I9" s="88">
        <f>VLOOKUP(C1,'Aufträge 2018-2020'!A:J,2,FALSE)</f>
        <v>44113</v>
      </c>
    </row>
    <row r="10" spans="1:29" ht="16" x14ac:dyDescent="0.2">
      <c r="A10" s="81"/>
    </row>
    <row r="11" spans="1:29" x14ac:dyDescent="0.2">
      <c r="A11" s="80"/>
    </row>
    <row r="12" spans="1:29" ht="15" customHeight="1" x14ac:dyDescent="0.2">
      <c r="A12" s="79" t="s">
        <v>852</v>
      </c>
    </row>
    <row r="13" spans="1:29" ht="42" customHeight="1" x14ac:dyDescent="0.2">
      <c r="A13" s="153" t="s">
        <v>2484</v>
      </c>
      <c r="B13" s="153"/>
      <c r="C13" s="153"/>
      <c r="D13" s="153"/>
      <c r="E13" s="153"/>
      <c r="F13" s="153"/>
      <c r="G13" s="153"/>
      <c r="H13" s="153"/>
      <c r="I13" s="153"/>
    </row>
    <row r="14" spans="1:29" ht="20.25" customHeight="1" x14ac:dyDescent="0.2">
      <c r="A14" s="160" t="s">
        <v>2485</v>
      </c>
      <c r="B14" s="161"/>
      <c r="C14" s="161"/>
      <c r="D14" s="161"/>
      <c r="E14" s="161"/>
      <c r="F14" s="161"/>
      <c r="G14" s="161"/>
      <c r="H14" s="161"/>
      <c r="I14" s="161"/>
    </row>
    <row r="15" spans="1:29" ht="18.75" customHeight="1" x14ac:dyDescent="0.2">
      <c r="A15" s="161"/>
      <c r="B15" s="161"/>
      <c r="C15" s="161"/>
      <c r="D15" s="161"/>
      <c r="E15" s="161"/>
      <c r="F15" s="161"/>
      <c r="G15" s="161"/>
      <c r="H15" s="161"/>
      <c r="I15" s="161"/>
      <c r="L15" t="s">
        <v>936</v>
      </c>
    </row>
    <row r="16" spans="1:29" ht="15.75" customHeight="1" x14ac:dyDescent="0.2">
      <c r="A16" s="161"/>
      <c r="B16" s="161"/>
      <c r="C16" s="161"/>
      <c r="D16" s="161"/>
      <c r="E16" s="161"/>
      <c r="F16" s="161"/>
      <c r="G16" s="161"/>
      <c r="H16" s="161"/>
      <c r="I16" s="161"/>
    </row>
    <row r="17" spans="1:22" s="90" customFormat="1" ht="15" customHeight="1" x14ac:dyDescent="0.2">
      <c r="A17" s="161"/>
      <c r="B17" s="161"/>
      <c r="C17" s="161"/>
      <c r="D17" s="161"/>
      <c r="E17" s="161"/>
      <c r="F17" s="161"/>
      <c r="G17" s="161"/>
      <c r="H17" s="161"/>
      <c r="I17" s="161"/>
    </row>
    <row r="18" spans="1:22" s="90" customFormat="1" ht="15" customHeight="1" x14ac:dyDescent="0.2">
      <c r="A18" s="161"/>
      <c r="B18" s="161"/>
      <c r="C18" s="161"/>
      <c r="D18" s="161"/>
      <c r="E18" s="161"/>
      <c r="F18" s="161"/>
      <c r="G18" s="161"/>
      <c r="H18" s="161"/>
      <c r="I18" s="161"/>
      <c r="L18" s="90" t="s">
        <v>857</v>
      </c>
      <c r="M18" t="s">
        <v>858</v>
      </c>
    </row>
    <row r="19" spans="1:22" ht="15" customHeight="1" x14ac:dyDescent="0.2">
      <c r="A19" s="161"/>
      <c r="B19" s="161"/>
      <c r="C19" s="161"/>
      <c r="D19" s="161"/>
      <c r="E19" s="161"/>
      <c r="F19" s="161"/>
      <c r="G19" s="161"/>
      <c r="H19" s="161"/>
      <c r="I19" s="161"/>
      <c r="M19" t="str">
        <f>IF(R53=R55,"","h.scheulen@loechner-immo.de")</f>
        <v/>
      </c>
      <c r="V19" s="92"/>
    </row>
    <row r="20" spans="1:22" ht="18.75" customHeight="1" x14ac:dyDescent="0.2">
      <c r="A20" s="161"/>
      <c r="B20" s="161"/>
      <c r="C20" s="161"/>
      <c r="D20" s="161"/>
      <c r="E20" s="161"/>
      <c r="F20" s="161"/>
      <c r="G20" s="161"/>
      <c r="H20" s="161"/>
      <c r="I20" s="161"/>
      <c r="M20" t="str">
        <f>IF(F9=0,"Kein Empfänger spezifiziert",IFERROR(VLOOKUP(F9,A57:C1000,3,FALSE),"Email von "&amp;F9&amp;" nachschauen"))</f>
        <v>info@immerath-gmbh.de</v>
      </c>
    </row>
    <row r="21" spans="1:22" ht="15.75" customHeight="1" x14ac:dyDescent="0.2">
      <c r="A21" s="161"/>
      <c r="B21" s="161"/>
      <c r="C21" s="161"/>
      <c r="D21" s="161"/>
      <c r="E21" s="161"/>
      <c r="F21" s="161"/>
      <c r="G21" s="161"/>
      <c r="H21" s="161"/>
      <c r="I21" s="161"/>
      <c r="M21" t="str">
        <f>IFERROR(VLOOKUP(VLOOKUP(B6,'Objekt Aufstellung'!A2:E51,5,FALSE),A57:C121,3,FALSE),"Objektnummer falsch oder nicht vorhanden")</f>
        <v>c.schlenke@athome-immo.de</v>
      </c>
    </row>
    <row r="22" spans="1:22" ht="21.75" customHeight="1" x14ac:dyDescent="0.25">
      <c r="A22" s="94" t="s">
        <v>937</v>
      </c>
      <c r="B22" s="90"/>
      <c r="C22" s="90"/>
      <c r="D22" s="136" t="s">
        <v>2479</v>
      </c>
      <c r="E22" s="103"/>
      <c r="F22" s="90"/>
      <c r="G22" s="90"/>
      <c r="H22" s="90"/>
      <c r="I22" s="90"/>
    </row>
    <row r="23" spans="1:22" x14ac:dyDescent="0.2">
      <c r="D23" s="158"/>
      <c r="E23" s="159"/>
      <c r="F23" s="159"/>
      <c r="G23" s="159"/>
      <c r="H23" s="159"/>
      <c r="I23" s="159"/>
    </row>
    <row r="24" spans="1:22" ht="16" x14ac:dyDescent="0.2">
      <c r="A24" s="79"/>
      <c r="L24" s="143" t="s">
        <v>864</v>
      </c>
      <c r="M24" s="155"/>
      <c r="N24" s="145"/>
      <c r="O24" s="145"/>
      <c r="P24" s="146"/>
    </row>
    <row r="25" spans="1:22" x14ac:dyDescent="0.2">
      <c r="A25" s="85" t="s">
        <v>938</v>
      </c>
      <c r="L25" s="143"/>
      <c r="M25" s="147"/>
      <c r="N25" s="148"/>
      <c r="O25" s="148"/>
      <c r="P25" s="149"/>
    </row>
    <row r="26" spans="1:22" ht="41.25" customHeight="1" x14ac:dyDescent="0.2">
      <c r="A26" s="85" t="s">
        <v>939</v>
      </c>
      <c r="L26" s="143"/>
      <c r="M26" s="150"/>
      <c r="N26" s="151"/>
      <c r="O26" s="151"/>
      <c r="P26" s="152"/>
    </row>
    <row r="27" spans="1:22" x14ac:dyDescent="0.2">
      <c r="A27" s="85" t="s">
        <v>940</v>
      </c>
    </row>
    <row r="28" spans="1:22" x14ac:dyDescent="0.2">
      <c r="A28" s="86"/>
    </row>
    <row r="29" spans="1:22" x14ac:dyDescent="0.2">
      <c r="A29" s="85"/>
      <c r="L29" t="s">
        <v>865</v>
      </c>
      <c r="M29" s="140"/>
      <c r="N29" s="141"/>
      <c r="O29" s="141"/>
      <c r="P29" s="141"/>
    </row>
    <row r="30" spans="1:22" x14ac:dyDescent="0.2">
      <c r="A30" s="85" t="s">
        <v>941</v>
      </c>
    </row>
    <row r="31" spans="1:22" x14ac:dyDescent="0.2">
      <c r="A31" s="85"/>
    </row>
    <row r="32" spans="1:22" x14ac:dyDescent="0.2">
      <c r="A32" s="85" t="str">
        <f>"i.A. " &amp; S53</f>
        <v>i.A. Herrmann Scheulen</v>
      </c>
    </row>
    <row r="33" spans="1:1" x14ac:dyDescent="0.2">
      <c r="A33" s="85"/>
    </row>
    <row r="34" spans="1:1" x14ac:dyDescent="0.2">
      <c r="A34" s="85"/>
    </row>
    <row r="35" spans="1:1" ht="19" x14ac:dyDescent="0.2">
      <c r="A35" s="95" t="str">
        <f>VLOOKUP(B6,'Objekt Aufstellung'!A2:F51,6,FALSE)</f>
        <v>Löchner Immobilien GmbH&amp;Co.KG</v>
      </c>
    </row>
    <row r="36" spans="1:1" ht="16" x14ac:dyDescent="0.2">
      <c r="A36" s="96" t="s">
        <v>942</v>
      </c>
    </row>
    <row r="37" spans="1:1" ht="16" x14ac:dyDescent="0.2">
      <c r="A37" s="96" t="s">
        <v>943</v>
      </c>
    </row>
    <row r="38" spans="1:1" x14ac:dyDescent="0.2">
      <c r="A38" s="85"/>
    </row>
    <row r="39" spans="1:1" x14ac:dyDescent="0.2">
      <c r="A39" s="85" t="str">
        <f>T53</f>
        <v>Tel. 0211 522884-13</v>
      </c>
    </row>
    <row r="40" spans="1:1" x14ac:dyDescent="0.2">
      <c r="A40" s="85" t="s">
        <v>944</v>
      </c>
    </row>
    <row r="41" spans="1:1" x14ac:dyDescent="0.2">
      <c r="A41" s="85" t="str">
        <f>U53</f>
        <v>Mobile: 0151-151 551 02</v>
      </c>
    </row>
    <row r="42" spans="1:1" x14ac:dyDescent="0.2">
      <c r="A42" s="93" t="str">
        <f>HYPERLINK("mailto:"&amp;V53,V53)</f>
        <v>h.scheulen@loechner-immo.de</v>
      </c>
    </row>
    <row r="53" spans="1:24" x14ac:dyDescent="0.2">
      <c r="R53" s="135" t="s">
        <v>868</v>
      </c>
      <c r="S53" s="97" t="str">
        <f>VLOOKUP(R53,R54:S57,2,FALSE)</f>
        <v>Herrmann Scheulen</v>
      </c>
      <c r="T53" s="97" t="str">
        <f>VLOOKUP(R53,R54:T57,3,FALSE)</f>
        <v>Tel. 0211 522884-13</v>
      </c>
      <c r="U53" s="97" t="str">
        <f>IF(VLOOKUP(R53,R54:U57,4,FALSE)=0,"",VLOOKUP(R53,R54:U57,4,FALSE))</f>
        <v>Mobile: 0151-151 551 02</v>
      </c>
      <c r="V53" s="99" t="str">
        <f>VLOOKUP(R53,R54:V57,5,FALSE)</f>
        <v>h.scheulen@loechner-immo.de</v>
      </c>
      <c r="X53" s="97" t="str">
        <f>VLOOKUP(R53,R54:X57,7,FALSE)</f>
        <v>H.Scheulen</v>
      </c>
    </row>
    <row r="54" spans="1:24" x14ac:dyDescent="0.2">
      <c r="R54" s="97" t="s">
        <v>869</v>
      </c>
      <c r="S54" s="98" t="s">
        <v>870</v>
      </c>
      <c r="T54" s="97" t="s">
        <v>871</v>
      </c>
      <c r="U54" s="97"/>
      <c r="V54" s="99" t="s">
        <v>872</v>
      </c>
      <c r="X54" s="97" t="s">
        <v>873</v>
      </c>
    </row>
    <row r="55" spans="1:24" x14ac:dyDescent="0.2">
      <c r="R55" s="97" t="s">
        <v>868</v>
      </c>
      <c r="S55" s="98" t="s">
        <v>874</v>
      </c>
      <c r="T55" s="97" t="s">
        <v>875</v>
      </c>
      <c r="U55" s="97" t="s">
        <v>876</v>
      </c>
      <c r="V55" s="99" t="s">
        <v>877</v>
      </c>
      <c r="X55" s="97" t="s">
        <v>878</v>
      </c>
    </row>
    <row r="56" spans="1:24" x14ac:dyDescent="0.2">
      <c r="A56" t="s">
        <v>879</v>
      </c>
      <c r="C56" t="s">
        <v>880</v>
      </c>
      <c r="R56" s="97" t="s">
        <v>882</v>
      </c>
      <c r="S56" s="98" t="s">
        <v>883</v>
      </c>
      <c r="T56" s="97" t="s">
        <v>884</v>
      </c>
      <c r="U56" s="97"/>
      <c r="V56" s="99" t="s">
        <v>885</v>
      </c>
      <c r="X56" s="97" t="s">
        <v>886</v>
      </c>
    </row>
    <row r="57" spans="1:24" x14ac:dyDescent="0.2">
      <c r="A57" s="28" t="s">
        <v>13</v>
      </c>
      <c r="C57" s="93" t="s">
        <v>877</v>
      </c>
      <c r="R57" s="97" t="s">
        <v>887</v>
      </c>
      <c r="S57" s="98" t="s">
        <v>888</v>
      </c>
      <c r="T57" s="97" t="s">
        <v>889</v>
      </c>
      <c r="V57" s="99" t="s">
        <v>890</v>
      </c>
      <c r="X57" s="97" t="s">
        <v>891</v>
      </c>
    </row>
    <row r="58" spans="1:24" x14ac:dyDescent="0.2">
      <c r="A58" s="28" t="s">
        <v>14</v>
      </c>
      <c r="C58" s="93" t="s">
        <v>892</v>
      </c>
    </row>
    <row r="59" spans="1:24" x14ac:dyDescent="0.2">
      <c r="A59" s="28" t="s">
        <v>23</v>
      </c>
      <c r="C59" s="93" t="s">
        <v>872</v>
      </c>
    </row>
    <row r="60" spans="1:24" x14ac:dyDescent="0.2">
      <c r="A60" s="28" t="s">
        <v>58</v>
      </c>
      <c r="C60" s="93" t="s">
        <v>872</v>
      </c>
    </row>
    <row r="61" spans="1:24" x14ac:dyDescent="0.2">
      <c r="A61" s="28" t="s">
        <v>119</v>
      </c>
      <c r="C61" s="93" t="s">
        <v>893</v>
      </c>
    </row>
    <row r="62" spans="1:24" x14ac:dyDescent="0.2">
      <c r="A62" s="28" t="s">
        <v>181</v>
      </c>
      <c r="C62" s="93" t="s">
        <v>894</v>
      </c>
    </row>
    <row r="63" spans="1:24" x14ac:dyDescent="0.2">
      <c r="A63" s="28" t="s">
        <v>19</v>
      </c>
      <c r="C63" s="93" t="s">
        <v>895</v>
      </c>
    </row>
    <row r="64" spans="1:24" x14ac:dyDescent="0.2">
      <c r="A64" s="28" t="s">
        <v>48</v>
      </c>
      <c r="C64" s="93" t="s">
        <v>896</v>
      </c>
    </row>
    <row r="65" spans="1:3" x14ac:dyDescent="0.2">
      <c r="A65" s="28" t="s">
        <v>30</v>
      </c>
      <c r="C65" s="93" t="s">
        <v>897</v>
      </c>
    </row>
    <row r="66" spans="1:3" x14ac:dyDescent="0.2">
      <c r="A66" s="28" t="s">
        <v>200</v>
      </c>
      <c r="C66" s="93" t="s">
        <v>898</v>
      </c>
    </row>
    <row r="67" spans="1:3" x14ac:dyDescent="0.2">
      <c r="A67" s="28" t="s">
        <v>543</v>
      </c>
      <c r="C67" s="93" t="s">
        <v>899</v>
      </c>
    </row>
    <row r="68" spans="1:3" x14ac:dyDescent="0.2">
      <c r="A68" s="28" t="s">
        <v>900</v>
      </c>
      <c r="C68" s="93" t="s">
        <v>901</v>
      </c>
    </row>
    <row r="69" spans="1:3" x14ac:dyDescent="0.2">
      <c r="A69" s="28" t="s">
        <v>411</v>
      </c>
      <c r="C69" s="93" t="s">
        <v>902</v>
      </c>
    </row>
    <row r="70" spans="1:3" x14ac:dyDescent="0.2">
      <c r="A70" s="28" t="s">
        <v>945</v>
      </c>
      <c r="C70" s="93" t="s">
        <v>902</v>
      </c>
    </row>
    <row r="71" spans="1:3" x14ac:dyDescent="0.2">
      <c r="A71" s="28" t="s">
        <v>2252</v>
      </c>
      <c r="C71" s="93" t="s">
        <v>2253</v>
      </c>
    </row>
    <row r="72" spans="1:3" x14ac:dyDescent="0.2">
      <c r="A72" s="28" t="s">
        <v>312</v>
      </c>
      <c r="C72" s="93" t="s">
        <v>903</v>
      </c>
    </row>
    <row r="73" spans="1:3" x14ac:dyDescent="0.2">
      <c r="A73" s="28" t="s">
        <v>76</v>
      </c>
      <c r="C73" s="93" t="s">
        <v>904</v>
      </c>
    </row>
    <row r="74" spans="1:3" x14ac:dyDescent="0.2">
      <c r="A74" s="28" t="s">
        <v>706</v>
      </c>
      <c r="C74" s="93" t="s">
        <v>905</v>
      </c>
    </row>
    <row r="75" spans="1:3" x14ac:dyDescent="0.2">
      <c r="A75" s="28" t="s">
        <v>306</v>
      </c>
      <c r="C75" s="93" t="s">
        <v>906</v>
      </c>
    </row>
    <row r="76" spans="1:3" x14ac:dyDescent="0.2">
      <c r="A76" s="28" t="s">
        <v>45</v>
      </c>
      <c r="C76" s="93" t="s">
        <v>907</v>
      </c>
    </row>
    <row r="77" spans="1:3" x14ac:dyDescent="0.2">
      <c r="A77" s="28" t="s">
        <v>84</v>
      </c>
      <c r="C77" s="93" t="s">
        <v>908</v>
      </c>
    </row>
    <row r="78" spans="1:3" x14ac:dyDescent="0.2">
      <c r="A78" s="28" t="s">
        <v>136</v>
      </c>
      <c r="C78" t="s">
        <v>946</v>
      </c>
    </row>
    <row r="79" spans="1:3" x14ac:dyDescent="0.2">
      <c r="A79" s="28" t="s">
        <v>423</v>
      </c>
      <c r="C79" s="93" t="s">
        <v>947</v>
      </c>
    </row>
    <row r="80" spans="1:3" x14ac:dyDescent="0.2">
      <c r="A80" s="28" t="s">
        <v>909</v>
      </c>
      <c r="C80" s="93" t="s">
        <v>948</v>
      </c>
    </row>
    <row r="81" spans="1:3" x14ac:dyDescent="0.2">
      <c r="A81" s="28" t="s">
        <v>93</v>
      </c>
      <c r="C81" s="93" t="s">
        <v>910</v>
      </c>
    </row>
    <row r="82" spans="1:3" x14ac:dyDescent="0.2">
      <c r="A82" s="28" t="s">
        <v>104</v>
      </c>
      <c r="C82" s="93" t="s">
        <v>911</v>
      </c>
    </row>
    <row r="83" spans="1:3" x14ac:dyDescent="0.2">
      <c r="A83" s="28" t="s">
        <v>167</v>
      </c>
      <c r="C83" s="93" t="s">
        <v>912</v>
      </c>
    </row>
    <row r="84" spans="1:3" x14ac:dyDescent="0.2">
      <c r="A84" s="28" t="s">
        <v>329</v>
      </c>
      <c r="C84" s="93" t="s">
        <v>913</v>
      </c>
    </row>
    <row r="85" spans="1:3" x14ac:dyDescent="0.2">
      <c r="A85" s="28" t="s">
        <v>914</v>
      </c>
      <c r="C85" s="93" t="s">
        <v>915</v>
      </c>
    </row>
    <row r="86" spans="1:3" x14ac:dyDescent="0.2">
      <c r="A86" s="28" t="s">
        <v>232</v>
      </c>
      <c r="C86" s="93" t="s">
        <v>949</v>
      </c>
    </row>
    <row r="87" spans="1:3" x14ac:dyDescent="0.2">
      <c r="A87" s="28" t="s">
        <v>386</v>
      </c>
      <c r="C87" s="93" t="s">
        <v>894</v>
      </c>
    </row>
    <row r="88" spans="1:3" x14ac:dyDescent="0.2">
      <c r="A88" s="28" t="s">
        <v>950</v>
      </c>
      <c r="C88" s="93" t="s">
        <v>951</v>
      </c>
    </row>
    <row r="89" spans="1:3" x14ac:dyDescent="0.2">
      <c r="A89" s="28" t="s">
        <v>917</v>
      </c>
      <c r="C89" s="93" t="s">
        <v>906</v>
      </c>
    </row>
    <row r="90" spans="1:3" x14ac:dyDescent="0.2">
      <c r="A90" s="28" t="s">
        <v>272</v>
      </c>
      <c r="C90" s="93" t="s">
        <v>918</v>
      </c>
    </row>
    <row r="91" spans="1:3" x14ac:dyDescent="0.2">
      <c r="A91" s="28" t="s">
        <v>436</v>
      </c>
      <c r="C91" s="93" t="s">
        <v>919</v>
      </c>
    </row>
    <row r="92" spans="1:3" x14ac:dyDescent="0.2">
      <c r="A92" s="28" t="s">
        <v>2080</v>
      </c>
      <c r="C92" s="93" t="s">
        <v>2081</v>
      </c>
    </row>
    <row r="93" spans="1:3" x14ac:dyDescent="0.2">
      <c r="A93" s="28" t="s">
        <v>952</v>
      </c>
      <c r="C93" s="93" t="s">
        <v>953</v>
      </c>
    </row>
    <row r="94" spans="1:3" x14ac:dyDescent="0.2">
      <c r="A94" s="28" t="s">
        <v>2289</v>
      </c>
      <c r="C94" s="93" t="s">
        <v>2290</v>
      </c>
    </row>
    <row r="95" spans="1:3" x14ac:dyDescent="0.2">
      <c r="A95" s="28" t="s">
        <v>706</v>
      </c>
      <c r="C95" s="93" t="s">
        <v>905</v>
      </c>
    </row>
    <row r="96" spans="1:3" x14ac:dyDescent="0.2">
      <c r="A96" s="28" t="s">
        <v>921</v>
      </c>
      <c r="C96" t="s">
        <v>954</v>
      </c>
    </row>
    <row r="97" spans="1:3" x14ac:dyDescent="0.2">
      <c r="A97" s="28" t="s">
        <v>297</v>
      </c>
      <c r="C97" s="93" t="s">
        <v>906</v>
      </c>
    </row>
    <row r="98" spans="1:3" x14ac:dyDescent="0.2">
      <c r="A98" s="28" t="s">
        <v>362</v>
      </c>
      <c r="C98" s="93" t="s">
        <v>906</v>
      </c>
    </row>
    <row r="99" spans="1:3" x14ac:dyDescent="0.2">
      <c r="A99" s="28" t="s">
        <v>922</v>
      </c>
      <c r="C99" s="93" t="s">
        <v>923</v>
      </c>
    </row>
    <row r="100" spans="1:3" x14ac:dyDescent="0.2">
      <c r="A100" s="28" t="s">
        <v>924</v>
      </c>
      <c r="C100" s="93" t="s">
        <v>925</v>
      </c>
    </row>
    <row r="101" spans="1:3" x14ac:dyDescent="0.2">
      <c r="A101" s="28" t="s">
        <v>955</v>
      </c>
      <c r="C101" s="93" t="s">
        <v>956</v>
      </c>
    </row>
    <row r="102" spans="1:3" x14ac:dyDescent="0.2">
      <c r="A102" s="28" t="s">
        <v>2470</v>
      </c>
      <c r="C102" s="93" t="s">
        <v>2471</v>
      </c>
    </row>
    <row r="103" spans="1:3" x14ac:dyDescent="0.2">
      <c r="A103" s="28" t="s">
        <v>71</v>
      </c>
      <c r="C103" t="s">
        <v>957</v>
      </c>
    </row>
    <row r="104" spans="1:3" x14ac:dyDescent="0.2">
      <c r="A104" s="28" t="s">
        <v>958</v>
      </c>
      <c r="C104" t="s">
        <v>959</v>
      </c>
    </row>
    <row r="105" spans="1:3" x14ac:dyDescent="0.2">
      <c r="A105" s="28" t="s">
        <v>231</v>
      </c>
      <c r="C105" t="e">
        <v>#N/A</v>
      </c>
    </row>
    <row r="106" spans="1:3" x14ac:dyDescent="0.2">
      <c r="A106" s="28" t="s">
        <v>960</v>
      </c>
      <c r="C106" s="93" t="s">
        <v>948</v>
      </c>
    </row>
    <row r="107" spans="1:3" x14ac:dyDescent="0.2">
      <c r="A107" s="28" t="s">
        <v>360</v>
      </c>
      <c r="C107" t="e">
        <v>#N/A</v>
      </c>
    </row>
    <row r="108" spans="1:3" x14ac:dyDescent="0.2">
      <c r="A108" s="28" t="s">
        <v>926</v>
      </c>
      <c r="C108" t="e">
        <v>#N/A</v>
      </c>
    </row>
    <row r="109" spans="1:3" x14ac:dyDescent="0.2">
      <c r="A109" s="28" t="s">
        <v>286</v>
      </c>
      <c r="C109" t="e">
        <v>#N/A</v>
      </c>
    </row>
    <row r="110" spans="1:3" x14ac:dyDescent="0.2">
      <c r="A110" s="28" t="s">
        <v>546</v>
      </c>
      <c r="C110" t="e">
        <v>#N/A</v>
      </c>
    </row>
    <row r="111" spans="1:3" x14ac:dyDescent="0.2">
      <c r="A111" s="28" t="s">
        <v>961</v>
      </c>
      <c r="C111" s="93" t="s">
        <v>962</v>
      </c>
    </row>
    <row r="112" spans="1:3" x14ac:dyDescent="0.2">
      <c r="A112" s="28" t="s">
        <v>683</v>
      </c>
      <c r="C112" s="93" t="s">
        <v>2286</v>
      </c>
    </row>
    <row r="113" spans="1:3" x14ac:dyDescent="0.2">
      <c r="A113" s="28" t="s">
        <v>739</v>
      </c>
      <c r="C113" t="e">
        <v>#N/A</v>
      </c>
    </row>
    <row r="114" spans="1:3" x14ac:dyDescent="0.2">
      <c r="A114" s="28" t="s">
        <v>927</v>
      </c>
      <c r="C114" t="e">
        <v>#N/A</v>
      </c>
    </row>
    <row r="115" spans="1:3" x14ac:dyDescent="0.2">
      <c r="A115" s="28" t="s">
        <v>928</v>
      </c>
      <c r="C115" t="e">
        <v>#N/A</v>
      </c>
    </row>
    <row r="116" spans="1:3" x14ac:dyDescent="0.2">
      <c r="A116" s="28" t="s">
        <v>929</v>
      </c>
      <c r="C116" t="e">
        <v>#N/A</v>
      </c>
    </row>
    <row r="117" spans="1:3" x14ac:dyDescent="0.2">
      <c r="A117" s="28" t="s">
        <v>763</v>
      </c>
      <c r="C117" t="e">
        <v>#N/A</v>
      </c>
    </row>
    <row r="118" spans="1:3" x14ac:dyDescent="0.2">
      <c r="A118" s="28" t="s">
        <v>930</v>
      </c>
      <c r="C118" t="e">
        <v>#N/A</v>
      </c>
    </row>
    <row r="119" spans="1:3" x14ac:dyDescent="0.2">
      <c r="A119" s="28" t="s">
        <v>931</v>
      </c>
      <c r="C119" t="e">
        <v>#N/A</v>
      </c>
    </row>
    <row r="120" spans="1:3" x14ac:dyDescent="0.2">
      <c r="A120" s="28" t="s">
        <v>932</v>
      </c>
      <c r="C120" t="e">
        <v>#N/A</v>
      </c>
    </row>
    <row r="121" spans="1:3" x14ac:dyDescent="0.2">
      <c r="A121" s="28" t="s">
        <v>963</v>
      </c>
      <c r="C121" s="93" t="s">
        <v>964</v>
      </c>
    </row>
  </sheetData>
  <sheetProtection formatCells="0" formatColumns="0" formatRows="0" selectLockedCells="1"/>
  <mergeCells count="9">
    <mergeCell ref="C1:D1"/>
    <mergeCell ref="M29:P29"/>
    <mergeCell ref="O7:O8"/>
    <mergeCell ref="L24:L26"/>
    <mergeCell ref="M24:P26"/>
    <mergeCell ref="B8:I8"/>
    <mergeCell ref="D23:I23"/>
    <mergeCell ref="A13:I13"/>
    <mergeCell ref="A14:I21"/>
  </mergeCells>
  <conditionalFormatting sqref="M20:M21">
    <cfRule type="notContainsText" dxfId="1" priority="2" operator="notContains" text="@">
      <formula>ISERROR(SEARCH("@",M20))</formula>
    </cfRule>
  </conditionalFormatting>
  <conditionalFormatting sqref="E6">
    <cfRule type="containsText" dxfId="0" priority="1" operator="containsText" text="!">
      <formula>NOT(ISERROR(SEARCH("!",E6)))</formula>
    </cfRule>
  </conditionalFormatting>
  <dataValidations count="1">
    <dataValidation type="date" operator="greaterThanOrEqual" allowBlank="1" showInputMessage="1" showErrorMessage="1" sqref="M29:P29" xr:uid="{00000000-0002-0000-0500-000000000000}">
      <formula1>TODAY()</formula1>
    </dataValidation>
  </dataValidations>
  <hyperlinks>
    <hyperlink ref="M19" r:id="rId1" display="h.scheulen@loechner-immo.de" xr:uid="{00000000-0004-0000-0500-000000000000}"/>
    <hyperlink ref="M18" r:id="rId2" xr:uid="{00000000-0004-0000-0500-000001000000}"/>
    <hyperlink ref="C58" r:id="rId3" xr:uid="{00000000-0004-0000-0500-000003000000}"/>
    <hyperlink ref="C61" r:id="rId4" xr:uid="{00000000-0004-0000-0500-000004000000}"/>
    <hyperlink ref="C59" r:id="rId5" xr:uid="{00000000-0004-0000-0500-000005000000}"/>
    <hyperlink ref="C57" r:id="rId6" xr:uid="{00000000-0004-0000-0500-000006000000}"/>
    <hyperlink ref="C97" r:id="rId7" display="info@areal-property.de" xr:uid="{00000000-0004-0000-0500-000007000000}"/>
    <hyperlink ref="C75" r:id="rId8" display="info@areal-property.de" xr:uid="{00000000-0004-0000-0500-000008000000}"/>
    <hyperlink ref="C98" r:id="rId9" display="info@areal-property.de" xr:uid="{00000000-0004-0000-0500-000009000000}"/>
    <hyperlink ref="C69" r:id="rId10" xr:uid="{00000000-0004-0000-0500-00000A000000}"/>
    <hyperlink ref="C89" r:id="rId11" display="info@areal-property.de" xr:uid="{00000000-0004-0000-0500-00000B000000}"/>
    <hyperlink ref="C100" r:id="rId12" display="timhentschel38@gmail.com; " xr:uid="{00000000-0004-0000-0500-00000C000000}"/>
    <hyperlink ref="C63" r:id="rId13" xr:uid="{00000000-0004-0000-0500-00000D000000}"/>
    <hyperlink ref="C62" r:id="rId14" xr:uid="{00000000-0004-0000-0500-00000E000000}"/>
    <hyperlink ref="C66" r:id="rId15" xr:uid="{00000000-0004-0000-0500-00000F000000}"/>
    <hyperlink ref="C67" r:id="rId16" xr:uid="{00000000-0004-0000-0500-000010000000}"/>
    <hyperlink ref="C72" r:id="rId17" xr:uid="{00000000-0004-0000-0500-000011000000}"/>
    <hyperlink ref="C73" r:id="rId18" xr:uid="{00000000-0004-0000-0500-000012000000}"/>
    <hyperlink ref="C77" r:id="rId19" xr:uid="{00000000-0004-0000-0500-000013000000}"/>
    <hyperlink ref="C81" r:id="rId20" xr:uid="{00000000-0004-0000-0500-000014000000}"/>
    <hyperlink ref="C82" r:id="rId21" xr:uid="{00000000-0004-0000-0500-000015000000}"/>
    <hyperlink ref="C83" r:id="rId22" xr:uid="{00000000-0004-0000-0500-000016000000}"/>
    <hyperlink ref="C84" r:id="rId23" xr:uid="{00000000-0004-0000-0500-000017000000}"/>
    <hyperlink ref="C85" r:id="rId24" xr:uid="{00000000-0004-0000-0500-000018000000}"/>
    <hyperlink ref="C87" r:id="rId25" xr:uid="{00000000-0004-0000-0500-000019000000}"/>
    <hyperlink ref="C90" r:id="rId26" xr:uid="{00000000-0004-0000-0500-00001A000000}"/>
    <hyperlink ref="C91" r:id="rId27" xr:uid="{00000000-0004-0000-0500-00001B000000}"/>
    <hyperlink ref="C95" r:id="rId28" xr:uid="{00000000-0004-0000-0500-00001C000000}"/>
    <hyperlink ref="C74" r:id="rId29" xr:uid="{00000000-0004-0000-0500-00001D000000}"/>
    <hyperlink ref="C70" r:id="rId30" xr:uid="{00000000-0004-0000-0500-00001E000000}"/>
    <hyperlink ref="V56" r:id="rId31" xr:uid="{00000000-0004-0000-0500-00001F000000}"/>
    <hyperlink ref="V54" r:id="rId32" xr:uid="{00000000-0004-0000-0500-000020000000}"/>
    <hyperlink ref="V55" r:id="rId33" xr:uid="{00000000-0004-0000-0500-000021000000}"/>
    <hyperlink ref="V57" r:id="rId34" xr:uid="{00000000-0004-0000-0500-000022000000}"/>
    <hyperlink ref="C80" r:id="rId35" xr:uid="{00000000-0004-0000-0500-000023000000}"/>
    <hyperlink ref="C88" r:id="rId36" xr:uid="{00000000-0004-0000-0500-000024000000}"/>
    <hyperlink ref="C121" r:id="rId37" xr:uid="{00000000-0004-0000-0500-000025000000}"/>
    <hyperlink ref="C86" r:id="rId38" xr:uid="{00000000-0004-0000-0500-000026000000}"/>
    <hyperlink ref="C111" r:id="rId39" xr:uid="{24AF4107-8853-4A36-94D3-9F73B1BA6CF7}"/>
    <hyperlink ref="C79" r:id="rId40" xr:uid="{A89C2059-D379-474A-A71A-51A6164CF01F}"/>
    <hyperlink ref="C101" r:id="rId41" xr:uid="{7D7A91A7-7662-418C-AB36-944BD2C90F7D}"/>
    <hyperlink ref="C106" r:id="rId42" xr:uid="{E24F0DB8-D8BC-4009-8BE5-10362185277E}"/>
    <hyperlink ref="C93" r:id="rId43" xr:uid="{F8338969-D702-4BA7-8699-6CE8F088A9A8}"/>
    <hyperlink ref="C92" r:id="rId44" xr:uid="{78C362D2-527B-4E07-AADD-E2DB30ADD320}"/>
    <hyperlink ref="C60" r:id="rId45" xr:uid="{289E8453-02EB-4E1E-A97F-7FAEE033D4BE}"/>
    <hyperlink ref="C71" r:id="rId46" xr:uid="{06FF6BFB-A95F-41F7-AD55-34151982F07E}"/>
    <hyperlink ref="C112" r:id="rId47" xr:uid="{F261DF65-272B-4892-AF58-8F7D3C2D6041}"/>
    <hyperlink ref="C94" r:id="rId48" xr:uid="{7095CE5D-0B23-48B4-A5C9-B87028D38B6C}"/>
    <hyperlink ref="C102" r:id="rId49" xr:uid="{C4395672-6F71-4ED4-8AD1-54F60D3F90A1}"/>
  </hyperlinks>
  <pageMargins left="0.7" right="0.7" top="0.78740157499999996" bottom="0.78740157499999996" header="0.3" footer="0.3"/>
  <pageSetup paperSize="9" scale="98" fitToWidth="0" orientation="portrait" r:id="rId50"/>
  <drawing r:id="rId5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M63"/>
  <sheetViews>
    <sheetView topLeftCell="B1" workbookViewId="0">
      <selection activeCell="M1" sqref="M1"/>
    </sheetView>
  </sheetViews>
  <sheetFormatPr baseColWidth="10" defaultColWidth="11.5" defaultRowHeight="15" x14ac:dyDescent="0.2"/>
  <sheetData>
    <row r="1" spans="1:13" x14ac:dyDescent="0.2">
      <c r="A1" t="s">
        <v>1</v>
      </c>
      <c r="B1" t="s">
        <v>965</v>
      </c>
      <c r="M1" s="93" t="s">
        <v>966</v>
      </c>
    </row>
    <row r="2" spans="1:13" x14ac:dyDescent="0.2">
      <c r="A2" s="91">
        <f ca="1">TODAY()</f>
        <v>44116</v>
      </c>
    </row>
    <row r="3" spans="1:13" x14ac:dyDescent="0.2">
      <c r="A3" s="91">
        <f ca="1">A2+1</f>
        <v>44117</v>
      </c>
    </row>
    <row r="4" spans="1:13" x14ac:dyDescent="0.2">
      <c r="A4" s="91">
        <f t="shared" ref="A4:A63" ca="1" si="0">A3+1</f>
        <v>44118</v>
      </c>
    </row>
    <row r="5" spans="1:13" x14ac:dyDescent="0.2">
      <c r="A5" s="91">
        <f t="shared" ca="1" si="0"/>
        <v>44119</v>
      </c>
    </row>
    <row r="6" spans="1:13" x14ac:dyDescent="0.2">
      <c r="A6" s="91">
        <f t="shared" ca="1" si="0"/>
        <v>44120</v>
      </c>
    </row>
    <row r="7" spans="1:13" x14ac:dyDescent="0.2">
      <c r="A7" s="91">
        <f t="shared" ca="1" si="0"/>
        <v>44121</v>
      </c>
    </row>
    <row r="8" spans="1:13" x14ac:dyDescent="0.2">
      <c r="A8" s="91">
        <f t="shared" ca="1" si="0"/>
        <v>44122</v>
      </c>
    </row>
    <row r="9" spans="1:13" x14ac:dyDescent="0.2">
      <c r="A9" s="91">
        <f t="shared" ca="1" si="0"/>
        <v>44123</v>
      </c>
    </row>
    <row r="10" spans="1:13" x14ac:dyDescent="0.2">
      <c r="A10" s="91">
        <f t="shared" ca="1" si="0"/>
        <v>44124</v>
      </c>
    </row>
    <row r="11" spans="1:13" x14ac:dyDescent="0.2">
      <c r="A11" s="91">
        <f t="shared" ca="1" si="0"/>
        <v>44125</v>
      </c>
    </row>
    <row r="12" spans="1:13" x14ac:dyDescent="0.2">
      <c r="A12" s="91">
        <f t="shared" ca="1" si="0"/>
        <v>44126</v>
      </c>
    </row>
    <row r="13" spans="1:13" x14ac:dyDescent="0.2">
      <c r="A13" s="91">
        <f t="shared" ca="1" si="0"/>
        <v>44127</v>
      </c>
    </row>
    <row r="14" spans="1:13" x14ac:dyDescent="0.2">
      <c r="A14" s="91">
        <f t="shared" ca="1" si="0"/>
        <v>44128</v>
      </c>
    </row>
    <row r="15" spans="1:13" x14ac:dyDescent="0.2">
      <c r="A15" s="91">
        <f t="shared" ca="1" si="0"/>
        <v>44129</v>
      </c>
    </row>
    <row r="16" spans="1:13" x14ac:dyDescent="0.2">
      <c r="A16" s="91">
        <f t="shared" ca="1" si="0"/>
        <v>44130</v>
      </c>
    </row>
    <row r="17" spans="1:1" x14ac:dyDescent="0.2">
      <c r="A17" s="91">
        <f t="shared" ca="1" si="0"/>
        <v>44131</v>
      </c>
    </row>
    <row r="18" spans="1:1" x14ac:dyDescent="0.2">
      <c r="A18" s="91">
        <f t="shared" ca="1" si="0"/>
        <v>44132</v>
      </c>
    </row>
    <row r="19" spans="1:1" x14ac:dyDescent="0.2">
      <c r="A19" s="91">
        <f t="shared" ca="1" si="0"/>
        <v>44133</v>
      </c>
    </row>
    <row r="20" spans="1:1" x14ac:dyDescent="0.2">
      <c r="A20" s="91">
        <f t="shared" ca="1" si="0"/>
        <v>44134</v>
      </c>
    </row>
    <row r="21" spans="1:1" x14ac:dyDescent="0.2">
      <c r="A21" s="91">
        <f t="shared" ca="1" si="0"/>
        <v>44135</v>
      </c>
    </row>
    <row r="22" spans="1:1" x14ac:dyDescent="0.2">
      <c r="A22" s="91">
        <f t="shared" ca="1" si="0"/>
        <v>44136</v>
      </c>
    </row>
    <row r="23" spans="1:1" x14ac:dyDescent="0.2">
      <c r="A23" s="91">
        <f t="shared" ca="1" si="0"/>
        <v>44137</v>
      </c>
    </row>
    <row r="24" spans="1:1" x14ac:dyDescent="0.2">
      <c r="A24" s="91">
        <f t="shared" ca="1" si="0"/>
        <v>44138</v>
      </c>
    </row>
    <row r="25" spans="1:1" x14ac:dyDescent="0.2">
      <c r="A25" s="91">
        <f t="shared" ca="1" si="0"/>
        <v>44139</v>
      </c>
    </row>
    <row r="26" spans="1:1" x14ac:dyDescent="0.2">
      <c r="A26" s="91">
        <f t="shared" ca="1" si="0"/>
        <v>44140</v>
      </c>
    </row>
    <row r="27" spans="1:1" x14ac:dyDescent="0.2">
      <c r="A27" s="91">
        <f t="shared" ca="1" si="0"/>
        <v>44141</v>
      </c>
    </row>
    <row r="28" spans="1:1" x14ac:dyDescent="0.2">
      <c r="A28" s="91">
        <f t="shared" ca="1" si="0"/>
        <v>44142</v>
      </c>
    </row>
    <row r="29" spans="1:1" x14ac:dyDescent="0.2">
      <c r="A29" s="91">
        <f t="shared" ca="1" si="0"/>
        <v>44143</v>
      </c>
    </row>
    <row r="30" spans="1:1" x14ac:dyDescent="0.2">
      <c r="A30" s="91">
        <f t="shared" ca="1" si="0"/>
        <v>44144</v>
      </c>
    </row>
    <row r="31" spans="1:1" x14ac:dyDescent="0.2">
      <c r="A31" s="91">
        <f t="shared" ca="1" si="0"/>
        <v>44145</v>
      </c>
    </row>
    <row r="32" spans="1:1" x14ac:dyDescent="0.2">
      <c r="A32" s="91">
        <f t="shared" ca="1" si="0"/>
        <v>44146</v>
      </c>
    </row>
    <row r="33" spans="1:1" x14ac:dyDescent="0.2">
      <c r="A33" s="91">
        <f t="shared" ca="1" si="0"/>
        <v>44147</v>
      </c>
    </row>
    <row r="34" spans="1:1" x14ac:dyDescent="0.2">
      <c r="A34" s="91">
        <f t="shared" ca="1" si="0"/>
        <v>44148</v>
      </c>
    </row>
    <row r="35" spans="1:1" x14ac:dyDescent="0.2">
      <c r="A35" s="91">
        <f t="shared" ca="1" si="0"/>
        <v>44149</v>
      </c>
    </row>
    <row r="36" spans="1:1" x14ac:dyDescent="0.2">
      <c r="A36" s="91">
        <f t="shared" ca="1" si="0"/>
        <v>44150</v>
      </c>
    </row>
    <row r="37" spans="1:1" x14ac:dyDescent="0.2">
      <c r="A37" s="91">
        <f t="shared" ca="1" si="0"/>
        <v>44151</v>
      </c>
    </row>
    <row r="38" spans="1:1" x14ac:dyDescent="0.2">
      <c r="A38" s="91">
        <f t="shared" ca="1" si="0"/>
        <v>44152</v>
      </c>
    </row>
    <row r="39" spans="1:1" x14ac:dyDescent="0.2">
      <c r="A39" s="91">
        <f t="shared" ca="1" si="0"/>
        <v>44153</v>
      </c>
    </row>
    <row r="40" spans="1:1" x14ac:dyDescent="0.2">
      <c r="A40" s="91">
        <f t="shared" ca="1" si="0"/>
        <v>44154</v>
      </c>
    </row>
    <row r="41" spans="1:1" x14ac:dyDescent="0.2">
      <c r="A41" s="91">
        <f t="shared" ca="1" si="0"/>
        <v>44155</v>
      </c>
    </row>
    <row r="42" spans="1:1" x14ac:dyDescent="0.2">
      <c r="A42" s="91">
        <f t="shared" ca="1" si="0"/>
        <v>44156</v>
      </c>
    </row>
    <row r="43" spans="1:1" x14ac:dyDescent="0.2">
      <c r="A43" s="91">
        <f t="shared" ca="1" si="0"/>
        <v>44157</v>
      </c>
    </row>
    <row r="44" spans="1:1" x14ac:dyDescent="0.2">
      <c r="A44" s="91">
        <f t="shared" ca="1" si="0"/>
        <v>44158</v>
      </c>
    </row>
    <row r="45" spans="1:1" x14ac:dyDescent="0.2">
      <c r="A45" s="91">
        <f t="shared" ca="1" si="0"/>
        <v>44159</v>
      </c>
    </row>
    <row r="46" spans="1:1" x14ac:dyDescent="0.2">
      <c r="A46" s="91">
        <f t="shared" ca="1" si="0"/>
        <v>44160</v>
      </c>
    </row>
    <row r="47" spans="1:1" x14ac:dyDescent="0.2">
      <c r="A47" s="91">
        <f t="shared" ca="1" si="0"/>
        <v>44161</v>
      </c>
    </row>
    <row r="48" spans="1:1" x14ac:dyDescent="0.2">
      <c r="A48" s="91">
        <f t="shared" ca="1" si="0"/>
        <v>44162</v>
      </c>
    </row>
    <row r="49" spans="1:1" x14ac:dyDescent="0.2">
      <c r="A49" s="91">
        <f t="shared" ca="1" si="0"/>
        <v>44163</v>
      </c>
    </row>
    <row r="50" spans="1:1" x14ac:dyDescent="0.2">
      <c r="A50" s="91">
        <f t="shared" ca="1" si="0"/>
        <v>44164</v>
      </c>
    </row>
    <row r="51" spans="1:1" x14ac:dyDescent="0.2">
      <c r="A51" s="91">
        <f t="shared" ca="1" si="0"/>
        <v>44165</v>
      </c>
    </row>
    <row r="52" spans="1:1" x14ac:dyDescent="0.2">
      <c r="A52" s="91">
        <f t="shared" ca="1" si="0"/>
        <v>44166</v>
      </c>
    </row>
    <row r="53" spans="1:1" x14ac:dyDescent="0.2">
      <c r="A53" s="91">
        <f t="shared" ca="1" si="0"/>
        <v>44167</v>
      </c>
    </row>
    <row r="54" spans="1:1" x14ac:dyDescent="0.2">
      <c r="A54" s="91">
        <f t="shared" ca="1" si="0"/>
        <v>44168</v>
      </c>
    </row>
    <row r="55" spans="1:1" x14ac:dyDescent="0.2">
      <c r="A55" s="91">
        <f t="shared" ca="1" si="0"/>
        <v>44169</v>
      </c>
    </row>
    <row r="56" spans="1:1" x14ac:dyDescent="0.2">
      <c r="A56" s="91">
        <f t="shared" ca="1" si="0"/>
        <v>44170</v>
      </c>
    </row>
    <row r="57" spans="1:1" x14ac:dyDescent="0.2">
      <c r="A57" s="91">
        <f t="shared" ca="1" si="0"/>
        <v>44171</v>
      </c>
    </row>
    <row r="58" spans="1:1" x14ac:dyDescent="0.2">
      <c r="A58" s="91">
        <f t="shared" ca="1" si="0"/>
        <v>44172</v>
      </c>
    </row>
    <row r="59" spans="1:1" x14ac:dyDescent="0.2">
      <c r="A59" s="91">
        <f t="shared" ca="1" si="0"/>
        <v>44173</v>
      </c>
    </row>
    <row r="60" spans="1:1" x14ac:dyDescent="0.2">
      <c r="A60" s="91">
        <f t="shared" ca="1" si="0"/>
        <v>44174</v>
      </c>
    </row>
    <row r="61" spans="1:1" x14ac:dyDescent="0.2">
      <c r="A61" s="91">
        <f t="shared" ca="1" si="0"/>
        <v>44175</v>
      </c>
    </row>
    <row r="62" spans="1:1" x14ac:dyDescent="0.2">
      <c r="A62" s="91">
        <f t="shared" ca="1" si="0"/>
        <v>44176</v>
      </c>
    </row>
    <row r="63" spans="1:1" x14ac:dyDescent="0.2">
      <c r="A63" s="91">
        <f t="shared" ca="1" si="0"/>
        <v>44177</v>
      </c>
    </row>
  </sheetData>
  <hyperlinks>
    <hyperlink ref="M1" r:id="rId1" display="https://loechnercapital.sharepoint.com/sites/Hausverwaltung/Freigegebene Dokumente/General/Organisation - V - M - F/Aufträge Übersicht - Instandhaltung/2018-2020 Aufträge Übersicht/Auftrag Nr.  20-108 - 22 - 200325.pdf" xr:uid="{5D59F993-B12D-42DF-BC82-809470D6BB16}"/>
  </hyperlinks>
  <pageMargins left="0.7" right="0.7" top="0.78740157499999996" bottom="0.78740157499999996" header="0.3" footer="0.3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P1305"/>
  <sheetViews>
    <sheetView zoomScaleNormal="100" zoomScalePageLayoutView="110" workbookViewId="0">
      <pane xSplit="1" ySplit="1" topLeftCell="B1066" activePane="bottomRight" state="frozen"/>
      <selection pane="topRight" activeCell="B1" sqref="B1"/>
      <selection pane="bottomLeft" activeCell="A2" sqref="A2"/>
      <selection pane="bottomRight" activeCell="I1085" sqref="I1085"/>
    </sheetView>
  </sheetViews>
  <sheetFormatPr baseColWidth="10" defaultColWidth="11.5" defaultRowHeight="15" x14ac:dyDescent="0.2"/>
  <cols>
    <col min="1" max="1" width="7.5" style="9" customWidth="1"/>
    <col min="2" max="2" width="10.83203125" style="9" bestFit="1" customWidth="1"/>
    <col min="3" max="3" width="6" style="9" customWidth="1"/>
    <col min="4" max="4" width="21.33203125" customWidth="1"/>
    <col min="5" max="5" width="15.33203125" customWidth="1"/>
    <col min="6" max="6" width="19.33203125" bestFit="1" customWidth="1"/>
    <col min="7" max="7" width="43.5" style="15" customWidth="1"/>
    <col min="8" max="8" width="8.33203125" customWidth="1"/>
    <col min="9" max="9" width="11" customWidth="1"/>
    <col min="10" max="10" width="11.1640625" customWidth="1"/>
    <col min="11" max="11" width="10.83203125" style="25"/>
    <col min="13" max="13" width="16.5" bestFit="1" customWidth="1"/>
    <col min="15" max="15" width="9.6640625" bestFit="1" customWidth="1"/>
    <col min="16" max="16" width="31.83203125" customWidth="1"/>
  </cols>
  <sheetData>
    <row r="1" spans="1:10" ht="30" x14ac:dyDescent="0.2">
      <c r="A1" s="13" t="s">
        <v>0</v>
      </c>
      <c r="B1" s="11" t="s">
        <v>1</v>
      </c>
      <c r="C1" s="7" t="s">
        <v>2</v>
      </c>
      <c r="D1" s="2" t="s">
        <v>3</v>
      </c>
      <c r="E1" s="2" t="s">
        <v>4</v>
      </c>
      <c r="F1" s="2" t="s">
        <v>5</v>
      </c>
      <c r="G1" s="14" t="s">
        <v>6</v>
      </c>
      <c r="H1" s="5" t="s">
        <v>7</v>
      </c>
      <c r="I1" s="6" t="s">
        <v>8</v>
      </c>
      <c r="J1" s="5"/>
    </row>
    <row r="2" spans="1:10" ht="16" x14ac:dyDescent="0.2">
      <c r="A2" s="16">
        <v>1</v>
      </c>
      <c r="B2" s="34">
        <v>43102</v>
      </c>
      <c r="C2" s="105">
        <v>10</v>
      </c>
      <c r="D2" s="17" t="s">
        <v>9</v>
      </c>
      <c r="E2" s="17" t="s">
        <v>10</v>
      </c>
      <c r="F2" s="17" t="s">
        <v>11</v>
      </c>
      <c r="G2" s="18" t="s">
        <v>12</v>
      </c>
      <c r="H2" s="17" t="s">
        <v>13</v>
      </c>
      <c r="I2" s="21" t="s">
        <v>14</v>
      </c>
      <c r="J2" s="21" t="s">
        <v>14</v>
      </c>
    </row>
    <row r="3" spans="1:10" ht="16" x14ac:dyDescent="0.2">
      <c r="A3" s="16">
        <v>1</v>
      </c>
      <c r="B3" s="34">
        <v>43472</v>
      </c>
      <c r="C3" s="105">
        <v>41</v>
      </c>
      <c r="D3" s="17" t="s">
        <v>26</v>
      </c>
      <c r="E3" s="17" t="s">
        <v>670</v>
      </c>
      <c r="F3" s="17" t="s">
        <v>495</v>
      </c>
      <c r="G3" s="18" t="s">
        <v>671</v>
      </c>
      <c r="H3" s="17" t="s">
        <v>23</v>
      </c>
      <c r="I3" s="57" t="s">
        <v>14</v>
      </c>
      <c r="J3" s="21" t="s">
        <v>14</v>
      </c>
    </row>
    <row r="4" spans="1:10" ht="16" x14ac:dyDescent="0.2">
      <c r="A4" s="16">
        <v>2</v>
      </c>
      <c r="B4" s="34">
        <v>43103</v>
      </c>
      <c r="C4" s="105">
        <v>45</v>
      </c>
      <c r="D4" s="17" t="s">
        <v>15</v>
      </c>
      <c r="E4" s="17" t="s">
        <v>16</v>
      </c>
      <c r="F4" s="17" t="s">
        <v>17</v>
      </c>
      <c r="G4" s="18" t="s">
        <v>18</v>
      </c>
      <c r="H4" s="17" t="s">
        <v>13</v>
      </c>
      <c r="I4" s="29" t="s">
        <v>19</v>
      </c>
      <c r="J4" s="29" t="s">
        <v>19</v>
      </c>
    </row>
    <row r="5" spans="1:10" ht="16" x14ac:dyDescent="0.2">
      <c r="A5" s="16">
        <v>2</v>
      </c>
      <c r="B5" s="34">
        <v>43472</v>
      </c>
      <c r="C5" s="105">
        <v>39</v>
      </c>
      <c r="D5" s="17" t="s">
        <v>152</v>
      </c>
      <c r="E5" s="17" t="s">
        <v>467</v>
      </c>
      <c r="F5" s="17" t="s">
        <v>17</v>
      </c>
      <c r="G5" s="18" t="s">
        <v>672</v>
      </c>
      <c r="H5" s="17" t="s">
        <v>13</v>
      </c>
      <c r="I5" s="29" t="s">
        <v>119</v>
      </c>
      <c r="J5" s="29" t="s">
        <v>252</v>
      </c>
    </row>
    <row r="6" spans="1:10" ht="16" x14ac:dyDescent="0.2">
      <c r="A6" s="16">
        <v>3</v>
      </c>
      <c r="B6" s="34">
        <v>43473</v>
      </c>
      <c r="C6" s="105">
        <v>19</v>
      </c>
      <c r="D6" s="17" t="s">
        <v>35</v>
      </c>
      <c r="E6" s="31">
        <v>14</v>
      </c>
      <c r="F6" s="17" t="s">
        <v>673</v>
      </c>
      <c r="G6" s="18" t="s">
        <v>674</v>
      </c>
      <c r="H6" s="17" t="s">
        <v>13</v>
      </c>
      <c r="I6" s="17" t="s">
        <v>14</v>
      </c>
      <c r="J6" s="20" t="s">
        <v>14</v>
      </c>
    </row>
    <row r="7" spans="1:10" ht="16" x14ac:dyDescent="0.2">
      <c r="A7" s="16">
        <v>3</v>
      </c>
      <c r="B7" s="34">
        <v>43103</v>
      </c>
      <c r="C7" s="105">
        <v>45</v>
      </c>
      <c r="D7" s="17" t="s">
        <v>15</v>
      </c>
      <c r="E7" s="17" t="s">
        <v>16</v>
      </c>
      <c r="F7" s="17" t="s">
        <v>17</v>
      </c>
      <c r="G7" s="18" t="s">
        <v>20</v>
      </c>
      <c r="H7" s="17" t="s">
        <v>13</v>
      </c>
      <c r="I7" s="17" t="s">
        <v>14</v>
      </c>
      <c r="J7" s="20" t="s">
        <v>14</v>
      </c>
    </row>
    <row r="8" spans="1:10" ht="16" x14ac:dyDescent="0.2">
      <c r="A8" s="16">
        <v>4</v>
      </c>
      <c r="B8" s="34">
        <v>43103</v>
      </c>
      <c r="C8" s="105">
        <v>45</v>
      </c>
      <c r="D8" s="17" t="s">
        <v>15</v>
      </c>
      <c r="E8" s="17" t="s">
        <v>21</v>
      </c>
      <c r="F8" s="17"/>
      <c r="G8" s="18" t="s">
        <v>22</v>
      </c>
      <c r="H8" s="17" t="s">
        <v>23</v>
      </c>
      <c r="I8" s="17" t="s">
        <v>24</v>
      </c>
      <c r="J8" s="20" t="s">
        <v>25</v>
      </c>
    </row>
    <row r="9" spans="1:10" ht="16" x14ac:dyDescent="0.2">
      <c r="A9" s="16">
        <v>4</v>
      </c>
      <c r="B9" s="34">
        <v>43473</v>
      </c>
      <c r="C9" s="105">
        <v>29</v>
      </c>
      <c r="D9" s="17" t="s">
        <v>675</v>
      </c>
      <c r="E9" s="17" t="s">
        <v>16</v>
      </c>
      <c r="F9" s="17" t="s">
        <v>666</v>
      </c>
      <c r="G9" s="18" t="s">
        <v>676</v>
      </c>
      <c r="H9" s="17" t="s">
        <v>13</v>
      </c>
      <c r="I9" s="21" t="s">
        <v>543</v>
      </c>
      <c r="J9" s="21" t="s">
        <v>967</v>
      </c>
    </row>
    <row r="10" spans="1:10" ht="16" x14ac:dyDescent="0.2">
      <c r="A10" s="16">
        <v>5</v>
      </c>
      <c r="B10" s="34">
        <v>43473</v>
      </c>
      <c r="C10" s="105">
        <v>29</v>
      </c>
      <c r="D10" s="17" t="s">
        <v>675</v>
      </c>
      <c r="E10" s="17" t="s">
        <v>16</v>
      </c>
      <c r="F10" s="17" t="s">
        <v>666</v>
      </c>
      <c r="G10" s="18" t="s">
        <v>369</v>
      </c>
      <c r="H10" s="17" t="s">
        <v>13</v>
      </c>
      <c r="I10" s="17" t="s">
        <v>30</v>
      </c>
      <c r="J10" s="69" t="s">
        <v>967</v>
      </c>
    </row>
    <row r="11" spans="1:10" ht="16" x14ac:dyDescent="0.2">
      <c r="A11" s="16">
        <v>5</v>
      </c>
      <c r="B11" s="34">
        <v>43103</v>
      </c>
      <c r="C11" s="105">
        <v>41</v>
      </c>
      <c r="D11" s="17" t="s">
        <v>26</v>
      </c>
      <c r="E11" s="17" t="s">
        <v>27</v>
      </c>
      <c r="F11" s="17" t="s">
        <v>28</v>
      </c>
      <c r="G11" s="18" t="s">
        <v>29</v>
      </c>
      <c r="H11" s="17" t="s">
        <v>23</v>
      </c>
      <c r="I11" s="17" t="s">
        <v>30</v>
      </c>
      <c r="J11" s="20" t="s">
        <v>30</v>
      </c>
    </row>
    <row r="12" spans="1:10" ht="16" x14ac:dyDescent="0.2">
      <c r="A12" s="16">
        <v>6</v>
      </c>
      <c r="B12" s="34">
        <v>43473</v>
      </c>
      <c r="C12" s="105">
        <v>44</v>
      </c>
      <c r="D12" s="17" t="s">
        <v>75</v>
      </c>
      <c r="E12" s="17" t="s">
        <v>10</v>
      </c>
      <c r="F12" s="17" t="s">
        <v>677</v>
      </c>
      <c r="G12" s="18" t="s">
        <v>290</v>
      </c>
      <c r="H12" s="17" t="s">
        <v>13</v>
      </c>
      <c r="I12" s="21" t="s">
        <v>14</v>
      </c>
      <c r="J12" s="21" t="s">
        <v>14</v>
      </c>
    </row>
    <row r="13" spans="1:10" ht="32" x14ac:dyDescent="0.2">
      <c r="A13" s="16">
        <v>6</v>
      </c>
      <c r="B13" s="34">
        <v>43104</v>
      </c>
      <c r="C13" s="105">
        <v>21</v>
      </c>
      <c r="D13" s="17" t="s">
        <v>31</v>
      </c>
      <c r="E13" s="17" t="s">
        <v>32</v>
      </c>
      <c r="F13" s="17" t="s">
        <v>33</v>
      </c>
      <c r="G13" s="18" t="s">
        <v>34</v>
      </c>
      <c r="H13" s="17" t="s">
        <v>13</v>
      </c>
      <c r="I13" s="21" t="s">
        <v>19</v>
      </c>
      <c r="J13" s="21" t="s">
        <v>19</v>
      </c>
    </row>
    <row r="14" spans="1:10" ht="16" x14ac:dyDescent="0.2">
      <c r="A14" s="16">
        <v>7</v>
      </c>
      <c r="B14" s="34">
        <v>43104</v>
      </c>
      <c r="C14" s="105">
        <v>19</v>
      </c>
      <c r="D14" s="17" t="s">
        <v>35</v>
      </c>
      <c r="E14" s="17" t="s">
        <v>36</v>
      </c>
      <c r="F14" s="17"/>
      <c r="G14" s="18" t="s">
        <v>37</v>
      </c>
      <c r="H14" s="17" t="s">
        <v>13</v>
      </c>
      <c r="I14" s="17" t="s">
        <v>19</v>
      </c>
      <c r="J14" s="69" t="s">
        <v>38</v>
      </c>
    </row>
    <row r="15" spans="1:10" ht="16" x14ac:dyDescent="0.2">
      <c r="A15" s="16">
        <v>7</v>
      </c>
      <c r="B15" s="34">
        <v>43473</v>
      </c>
      <c r="C15" s="105">
        <v>46</v>
      </c>
      <c r="D15" s="17" t="s">
        <v>573</v>
      </c>
      <c r="E15" s="17" t="s">
        <v>670</v>
      </c>
      <c r="F15" s="17" t="s">
        <v>518</v>
      </c>
      <c r="G15" s="18" t="s">
        <v>678</v>
      </c>
      <c r="H15" s="17" t="s">
        <v>23</v>
      </c>
      <c r="I15" s="17" t="s">
        <v>14</v>
      </c>
      <c r="J15" s="69" t="s">
        <v>14</v>
      </c>
    </row>
    <row r="16" spans="1:10" ht="16" x14ac:dyDescent="0.2">
      <c r="A16" s="16">
        <v>8</v>
      </c>
      <c r="B16" s="34">
        <v>43104</v>
      </c>
      <c r="C16" s="105">
        <v>32</v>
      </c>
      <c r="D16" s="17" t="s">
        <v>39</v>
      </c>
      <c r="E16" s="17" t="s">
        <v>40</v>
      </c>
      <c r="F16" s="17" t="s">
        <v>41</v>
      </c>
      <c r="G16" s="18" t="s">
        <v>42</v>
      </c>
      <c r="H16" s="17" t="s">
        <v>13</v>
      </c>
      <c r="I16" s="17" t="s">
        <v>14</v>
      </c>
      <c r="J16" s="20" t="s">
        <v>14</v>
      </c>
    </row>
    <row r="17" spans="1:10" ht="16" x14ac:dyDescent="0.2">
      <c r="A17" s="16">
        <v>8</v>
      </c>
      <c r="B17" s="34">
        <v>43473</v>
      </c>
      <c r="C17" s="105">
        <v>4</v>
      </c>
      <c r="D17" s="17" t="s">
        <v>679</v>
      </c>
      <c r="E17" s="17" t="s">
        <v>36</v>
      </c>
      <c r="F17" s="17"/>
      <c r="G17" s="18" t="s">
        <v>680</v>
      </c>
      <c r="H17" s="17" t="s">
        <v>13</v>
      </c>
      <c r="I17" s="17" t="s">
        <v>119</v>
      </c>
      <c r="J17" s="20" t="s">
        <v>119</v>
      </c>
    </row>
    <row r="18" spans="1:10" ht="16" x14ac:dyDescent="0.2">
      <c r="A18" s="16">
        <v>9</v>
      </c>
      <c r="B18" s="34">
        <v>43104</v>
      </c>
      <c r="C18" s="105">
        <v>10</v>
      </c>
      <c r="D18" s="17" t="s">
        <v>9</v>
      </c>
      <c r="E18" s="17" t="s">
        <v>43</v>
      </c>
      <c r="F18" s="17"/>
      <c r="G18" s="18" t="s">
        <v>44</v>
      </c>
      <c r="H18" s="17" t="s">
        <v>23</v>
      </c>
      <c r="I18" s="17" t="s">
        <v>45</v>
      </c>
      <c r="J18" s="20" t="s">
        <v>45</v>
      </c>
    </row>
    <row r="19" spans="1:10" ht="16" x14ac:dyDescent="0.2">
      <c r="A19" s="16">
        <v>9</v>
      </c>
      <c r="B19" s="34">
        <v>43474</v>
      </c>
      <c r="C19" s="105">
        <v>20</v>
      </c>
      <c r="D19" s="17" t="s">
        <v>681</v>
      </c>
      <c r="E19" s="17" t="s">
        <v>657</v>
      </c>
      <c r="F19" s="17"/>
      <c r="G19" s="18" t="s">
        <v>682</v>
      </c>
      <c r="H19" s="17" t="s">
        <v>13</v>
      </c>
      <c r="I19" s="67" t="s">
        <v>683</v>
      </c>
      <c r="J19" s="22" t="s">
        <v>683</v>
      </c>
    </row>
    <row r="20" spans="1:10" ht="16" x14ac:dyDescent="0.2">
      <c r="A20" s="16">
        <v>10</v>
      </c>
      <c r="B20" s="34">
        <v>43474</v>
      </c>
      <c r="C20" s="105">
        <v>34</v>
      </c>
      <c r="D20" s="17" t="s">
        <v>684</v>
      </c>
      <c r="E20" s="17" t="s">
        <v>685</v>
      </c>
      <c r="F20" s="17" t="s">
        <v>686</v>
      </c>
      <c r="G20" s="18" t="s">
        <v>687</v>
      </c>
      <c r="H20" s="17" t="s">
        <v>58</v>
      </c>
      <c r="I20" s="23" t="s">
        <v>14</v>
      </c>
      <c r="J20" s="23" t="s">
        <v>14</v>
      </c>
    </row>
    <row r="21" spans="1:10" ht="16" x14ac:dyDescent="0.2">
      <c r="A21" s="16">
        <v>10</v>
      </c>
      <c r="B21" s="34">
        <v>43104</v>
      </c>
      <c r="C21" s="105">
        <v>21</v>
      </c>
      <c r="D21" s="17" t="s">
        <v>31</v>
      </c>
      <c r="E21" s="17" t="s">
        <v>46</v>
      </c>
      <c r="F21" s="17" t="s">
        <v>47</v>
      </c>
      <c r="G21" s="18" t="s">
        <v>29</v>
      </c>
      <c r="H21" s="17" t="s">
        <v>23</v>
      </c>
      <c r="I21" s="17" t="s">
        <v>48</v>
      </c>
      <c r="J21" s="20" t="s">
        <v>48</v>
      </c>
    </row>
    <row r="22" spans="1:10" ht="16" x14ac:dyDescent="0.2">
      <c r="A22" s="16">
        <v>11</v>
      </c>
      <c r="B22" s="34">
        <v>43474</v>
      </c>
      <c r="C22" s="105">
        <v>11</v>
      </c>
      <c r="D22" s="17" t="s">
        <v>688</v>
      </c>
      <c r="E22" s="17" t="s">
        <v>269</v>
      </c>
      <c r="F22" s="17" t="s">
        <v>302</v>
      </c>
      <c r="G22" s="18" t="s">
        <v>176</v>
      </c>
      <c r="H22" s="17" t="s">
        <v>479</v>
      </c>
      <c r="I22" s="17" t="s">
        <v>14</v>
      </c>
      <c r="J22" s="20" t="s">
        <v>14</v>
      </c>
    </row>
    <row r="23" spans="1:10" ht="16" x14ac:dyDescent="0.2">
      <c r="A23" s="16">
        <v>11</v>
      </c>
      <c r="B23" s="34">
        <v>43109</v>
      </c>
      <c r="C23" s="105">
        <v>34</v>
      </c>
      <c r="D23" s="17" t="s">
        <v>49</v>
      </c>
      <c r="E23" s="65" t="s">
        <v>50</v>
      </c>
      <c r="F23" s="17" t="s">
        <v>51</v>
      </c>
      <c r="G23" s="18" t="s">
        <v>52</v>
      </c>
      <c r="H23" s="17" t="s">
        <v>23</v>
      </c>
      <c r="I23" s="57" t="s">
        <v>53</v>
      </c>
      <c r="J23" s="29" t="s">
        <v>54</v>
      </c>
    </row>
    <row r="24" spans="1:10" ht="16" x14ac:dyDescent="0.2">
      <c r="A24" s="16">
        <v>12</v>
      </c>
      <c r="B24" s="34">
        <v>43112</v>
      </c>
      <c r="C24" s="105">
        <v>7</v>
      </c>
      <c r="D24" s="17" t="s">
        <v>55</v>
      </c>
      <c r="E24" s="17" t="s">
        <v>46</v>
      </c>
      <c r="F24" s="17" t="s">
        <v>56</v>
      </c>
      <c r="G24" s="18" t="s">
        <v>57</v>
      </c>
      <c r="H24" s="17" t="s">
        <v>58</v>
      </c>
      <c r="I24" s="23" t="s">
        <v>14</v>
      </c>
      <c r="J24" s="20" t="s">
        <v>14</v>
      </c>
    </row>
    <row r="25" spans="1:10" ht="16" x14ac:dyDescent="0.2">
      <c r="A25" s="16">
        <v>12</v>
      </c>
      <c r="B25" s="34">
        <v>43475</v>
      </c>
      <c r="C25" s="105">
        <v>47</v>
      </c>
      <c r="D25" s="17" t="s">
        <v>689</v>
      </c>
      <c r="E25" s="17" t="s">
        <v>467</v>
      </c>
      <c r="F25" s="17" t="s">
        <v>690</v>
      </c>
      <c r="G25" s="18" t="s">
        <v>691</v>
      </c>
      <c r="H25" s="17" t="s">
        <v>13</v>
      </c>
      <c r="I25" s="17" t="s">
        <v>543</v>
      </c>
      <c r="J25" s="23" t="s">
        <v>967</v>
      </c>
    </row>
    <row r="26" spans="1:10" ht="16" x14ac:dyDescent="0.2">
      <c r="A26" s="16">
        <v>13</v>
      </c>
      <c r="B26" s="34">
        <v>43115</v>
      </c>
      <c r="C26" s="105">
        <v>24</v>
      </c>
      <c r="D26" s="17" t="s">
        <v>59</v>
      </c>
      <c r="E26" s="17" t="s">
        <v>60</v>
      </c>
      <c r="F26" s="17" t="s">
        <v>17</v>
      </c>
      <c r="G26" s="18" t="s">
        <v>61</v>
      </c>
      <c r="H26" s="17" t="s">
        <v>62</v>
      </c>
      <c r="I26" s="17" t="s">
        <v>14</v>
      </c>
      <c r="J26" s="20" t="s">
        <v>14</v>
      </c>
    </row>
    <row r="27" spans="1:10" ht="16" x14ac:dyDescent="0.2">
      <c r="A27" s="16">
        <v>13</v>
      </c>
      <c r="B27" s="34">
        <v>43475</v>
      </c>
      <c r="C27" s="105">
        <v>6</v>
      </c>
      <c r="D27" s="17" t="s">
        <v>692</v>
      </c>
      <c r="E27" s="17" t="s">
        <v>693</v>
      </c>
      <c r="F27" s="17" t="s">
        <v>589</v>
      </c>
      <c r="G27" s="18" t="s">
        <v>694</v>
      </c>
      <c r="H27" s="17" t="s">
        <v>13</v>
      </c>
      <c r="I27" s="17" t="s">
        <v>306</v>
      </c>
      <c r="J27" s="20" t="s">
        <v>119</v>
      </c>
    </row>
    <row r="28" spans="1:10" ht="16" x14ac:dyDescent="0.2">
      <c r="A28" s="16">
        <v>14</v>
      </c>
      <c r="B28" s="34">
        <v>43115</v>
      </c>
      <c r="C28" s="105">
        <v>27</v>
      </c>
      <c r="D28" s="17" t="s">
        <v>63</v>
      </c>
      <c r="E28" s="17" t="s">
        <v>64</v>
      </c>
      <c r="F28" s="17" t="s">
        <v>65</v>
      </c>
      <c r="G28" s="18" t="s">
        <v>66</v>
      </c>
      <c r="H28" s="17" t="s">
        <v>62</v>
      </c>
      <c r="I28" s="23" t="s">
        <v>14</v>
      </c>
      <c r="J28" s="23" t="s">
        <v>14</v>
      </c>
    </row>
    <row r="29" spans="1:10" ht="16" x14ac:dyDescent="0.2">
      <c r="A29" s="16">
        <v>14</v>
      </c>
      <c r="B29" s="34">
        <v>43475</v>
      </c>
      <c r="C29" s="105">
        <v>5</v>
      </c>
      <c r="D29" s="17" t="s">
        <v>695</v>
      </c>
      <c r="E29" s="17" t="s">
        <v>693</v>
      </c>
      <c r="F29" s="17" t="s">
        <v>602</v>
      </c>
      <c r="G29" s="18" t="s">
        <v>696</v>
      </c>
      <c r="H29" s="17" t="s">
        <v>13</v>
      </c>
      <c r="I29" s="67" t="s">
        <v>181</v>
      </c>
      <c r="J29" s="22" t="s">
        <v>181</v>
      </c>
    </row>
    <row r="30" spans="1:10" ht="16" x14ac:dyDescent="0.2">
      <c r="A30" s="16">
        <v>15</v>
      </c>
      <c r="B30" s="34">
        <v>43475</v>
      </c>
      <c r="C30" s="105">
        <v>34</v>
      </c>
      <c r="D30" s="17" t="s">
        <v>355</v>
      </c>
      <c r="E30" s="17" t="s">
        <v>467</v>
      </c>
      <c r="F30" s="17" t="s">
        <v>17</v>
      </c>
      <c r="G30" s="18" t="s">
        <v>697</v>
      </c>
      <c r="H30" s="17" t="s">
        <v>13</v>
      </c>
      <c r="I30" s="23" t="s">
        <v>14</v>
      </c>
      <c r="J30" s="23" t="s">
        <v>14</v>
      </c>
    </row>
    <row r="31" spans="1:10" ht="16" x14ac:dyDescent="0.2">
      <c r="A31" s="16">
        <v>15</v>
      </c>
      <c r="B31" s="34">
        <v>43115</v>
      </c>
      <c r="C31" s="105" t="s">
        <v>67</v>
      </c>
      <c r="D31" s="17" t="s">
        <v>68</v>
      </c>
      <c r="E31" s="17" t="s">
        <v>69</v>
      </c>
      <c r="F31" s="17"/>
      <c r="G31" s="18" t="s">
        <v>70</v>
      </c>
      <c r="H31" s="17" t="s">
        <v>62</v>
      </c>
      <c r="I31" s="17" t="s">
        <v>14</v>
      </c>
      <c r="J31" s="20" t="s">
        <v>14</v>
      </c>
    </row>
    <row r="32" spans="1:10" ht="16" x14ac:dyDescent="0.2">
      <c r="A32" s="16">
        <v>16</v>
      </c>
      <c r="B32" s="34">
        <v>43475</v>
      </c>
      <c r="C32" s="105">
        <v>9</v>
      </c>
      <c r="D32" s="17" t="s">
        <v>698</v>
      </c>
      <c r="E32" s="17" t="s">
        <v>699</v>
      </c>
      <c r="F32" s="17" t="s">
        <v>700</v>
      </c>
      <c r="G32" s="18" t="s">
        <v>701</v>
      </c>
      <c r="H32" s="17" t="s">
        <v>58</v>
      </c>
      <c r="I32" s="17" t="s">
        <v>48</v>
      </c>
      <c r="J32" s="20" t="s">
        <v>702</v>
      </c>
    </row>
    <row r="33" spans="1:12" ht="16" x14ac:dyDescent="0.2">
      <c r="A33" s="16">
        <v>16</v>
      </c>
      <c r="B33" s="34">
        <v>43115</v>
      </c>
      <c r="C33" s="105">
        <v>24</v>
      </c>
      <c r="D33" s="17" t="s">
        <v>59</v>
      </c>
      <c r="E33" s="17" t="s">
        <v>71</v>
      </c>
      <c r="F33" s="17" t="s">
        <v>17</v>
      </c>
      <c r="G33" s="18" t="s">
        <v>72</v>
      </c>
      <c r="H33" s="17" t="s">
        <v>62</v>
      </c>
      <c r="I33" s="17" t="s">
        <v>71</v>
      </c>
      <c r="J33" s="20" t="s">
        <v>71</v>
      </c>
      <c r="K33" s="66"/>
    </row>
    <row r="34" spans="1:12" ht="32" x14ac:dyDescent="0.2">
      <c r="A34" s="16">
        <v>17</v>
      </c>
      <c r="B34" s="34">
        <v>43475</v>
      </c>
      <c r="C34" s="105">
        <v>8</v>
      </c>
      <c r="D34" s="17" t="s">
        <v>544</v>
      </c>
      <c r="E34" s="17" t="s">
        <v>637</v>
      </c>
      <c r="F34" s="17" t="s">
        <v>190</v>
      </c>
      <c r="G34" s="18" t="s">
        <v>703</v>
      </c>
      <c r="H34" s="17" t="s">
        <v>58</v>
      </c>
      <c r="I34" s="67" t="s">
        <v>48</v>
      </c>
      <c r="J34" s="67" t="s">
        <v>48</v>
      </c>
    </row>
    <row r="35" spans="1:12" ht="16" x14ac:dyDescent="0.2">
      <c r="A35" s="16">
        <v>17</v>
      </c>
      <c r="B35" s="34">
        <v>43115</v>
      </c>
      <c r="C35" s="105" t="s">
        <v>67</v>
      </c>
      <c r="D35" s="17" t="s">
        <v>68</v>
      </c>
      <c r="E35" s="17" t="s">
        <v>73</v>
      </c>
      <c r="F35" s="17"/>
      <c r="G35" s="18" t="s">
        <v>74</v>
      </c>
      <c r="H35" s="17" t="s">
        <v>62</v>
      </c>
      <c r="I35" s="67" t="s">
        <v>45</v>
      </c>
      <c r="J35" s="22" t="s">
        <v>45</v>
      </c>
    </row>
    <row r="36" spans="1:12" ht="16" x14ac:dyDescent="0.2">
      <c r="A36" s="16">
        <v>18</v>
      </c>
      <c r="B36" s="34">
        <v>43115</v>
      </c>
      <c r="C36" s="105">
        <v>44</v>
      </c>
      <c r="D36" s="17" t="s">
        <v>75</v>
      </c>
      <c r="E36" s="17" t="s">
        <v>27</v>
      </c>
      <c r="F36" s="17" t="s">
        <v>76</v>
      </c>
      <c r="G36" s="18" t="s">
        <v>77</v>
      </c>
      <c r="H36" s="17" t="s">
        <v>23</v>
      </c>
      <c r="I36" s="23" t="s">
        <v>19</v>
      </c>
      <c r="J36" s="23" t="s">
        <v>19</v>
      </c>
    </row>
    <row r="37" spans="1:12" ht="32" x14ac:dyDescent="0.2">
      <c r="A37" s="16">
        <v>18</v>
      </c>
      <c r="B37" s="34">
        <v>43475</v>
      </c>
      <c r="C37" s="105"/>
      <c r="D37" s="17" t="s">
        <v>544</v>
      </c>
      <c r="E37" s="17" t="s">
        <v>637</v>
      </c>
      <c r="F37" s="17" t="s">
        <v>190</v>
      </c>
      <c r="G37" s="18" t="s">
        <v>704</v>
      </c>
      <c r="H37" s="17" t="s">
        <v>58</v>
      </c>
      <c r="I37" s="23" t="s">
        <v>181</v>
      </c>
      <c r="J37" s="23" t="s">
        <v>252</v>
      </c>
    </row>
    <row r="38" spans="1:12" ht="16" x14ac:dyDescent="0.2">
      <c r="A38" s="16">
        <v>19</v>
      </c>
      <c r="B38" s="34">
        <v>43117</v>
      </c>
      <c r="C38" s="105">
        <v>27</v>
      </c>
      <c r="D38" s="17" t="s">
        <v>63</v>
      </c>
      <c r="E38" s="17" t="s">
        <v>78</v>
      </c>
      <c r="F38" s="17"/>
      <c r="G38" s="18" t="s">
        <v>79</v>
      </c>
      <c r="H38" s="17" t="s">
        <v>62</v>
      </c>
      <c r="I38" s="17" t="s">
        <v>14</v>
      </c>
      <c r="J38" s="20" t="s">
        <v>14</v>
      </c>
    </row>
    <row r="39" spans="1:12" ht="16" x14ac:dyDescent="0.2">
      <c r="A39" s="16">
        <v>19</v>
      </c>
      <c r="B39" s="34">
        <v>43479</v>
      </c>
      <c r="C39" s="105">
        <v>46</v>
      </c>
      <c r="D39" s="17" t="s">
        <v>640</v>
      </c>
      <c r="E39" s="17" t="s">
        <v>10</v>
      </c>
      <c r="F39" s="17" t="s">
        <v>17</v>
      </c>
      <c r="G39" s="18" t="s">
        <v>61</v>
      </c>
      <c r="H39" s="17" t="s">
        <v>13</v>
      </c>
      <c r="I39" s="17" t="s">
        <v>14</v>
      </c>
      <c r="J39" s="20" t="s">
        <v>14</v>
      </c>
    </row>
    <row r="40" spans="1:12" ht="45.75" customHeight="1" x14ac:dyDescent="0.2">
      <c r="A40" s="16">
        <v>20</v>
      </c>
      <c r="B40" s="34">
        <v>43117</v>
      </c>
      <c r="C40" s="105" t="s">
        <v>80</v>
      </c>
      <c r="D40" s="17" t="s">
        <v>81</v>
      </c>
      <c r="E40" s="17"/>
      <c r="F40" s="17" t="s">
        <v>82</v>
      </c>
      <c r="G40" s="18" t="s">
        <v>83</v>
      </c>
      <c r="H40" s="17" t="s">
        <v>62</v>
      </c>
      <c r="I40" s="17" t="s">
        <v>84</v>
      </c>
      <c r="J40" s="23" t="s">
        <v>84</v>
      </c>
    </row>
    <row r="41" spans="1:12" ht="16" x14ac:dyDescent="0.2">
      <c r="A41" s="16">
        <v>20</v>
      </c>
      <c r="B41" s="34">
        <v>43479</v>
      </c>
      <c r="C41" s="105">
        <v>39</v>
      </c>
      <c r="D41" s="17" t="s">
        <v>152</v>
      </c>
      <c r="E41" s="17" t="s">
        <v>43</v>
      </c>
      <c r="F41" s="17"/>
      <c r="G41" s="18" t="s">
        <v>705</v>
      </c>
      <c r="H41" s="17" t="s">
        <v>13</v>
      </c>
      <c r="I41" s="21" t="s">
        <v>706</v>
      </c>
      <c r="J41" s="21" t="s">
        <v>706</v>
      </c>
      <c r="K41" s="24"/>
      <c r="L41" s="25"/>
    </row>
    <row r="42" spans="1:12" ht="16" x14ac:dyDescent="0.2">
      <c r="A42" s="16">
        <v>21</v>
      </c>
      <c r="B42" s="34">
        <v>43117</v>
      </c>
      <c r="C42" s="105">
        <v>33</v>
      </c>
      <c r="D42" s="17" t="s">
        <v>85</v>
      </c>
      <c r="E42" s="17" t="s">
        <v>86</v>
      </c>
      <c r="F42" s="17" t="s">
        <v>87</v>
      </c>
      <c r="G42" s="18" t="s">
        <v>88</v>
      </c>
      <c r="H42" s="17" t="s">
        <v>62</v>
      </c>
      <c r="I42" s="17" t="s">
        <v>84</v>
      </c>
      <c r="J42" s="20" t="s">
        <v>84</v>
      </c>
    </row>
    <row r="43" spans="1:12" ht="16" x14ac:dyDescent="0.2">
      <c r="A43" s="16">
        <v>21</v>
      </c>
      <c r="B43" s="34">
        <v>43479</v>
      </c>
      <c r="C43" s="105">
        <v>46</v>
      </c>
      <c r="D43" s="17" t="s">
        <v>640</v>
      </c>
      <c r="E43" s="17" t="s">
        <v>43</v>
      </c>
      <c r="F43" s="17"/>
      <c r="G43" s="18" t="s">
        <v>707</v>
      </c>
      <c r="H43" s="17" t="s">
        <v>13</v>
      </c>
      <c r="I43" s="21" t="s">
        <v>706</v>
      </c>
      <c r="J43" s="21" t="s">
        <v>706</v>
      </c>
      <c r="K43"/>
    </row>
    <row r="44" spans="1:12" ht="16" x14ac:dyDescent="0.2">
      <c r="A44" s="16">
        <v>22</v>
      </c>
      <c r="B44" s="34">
        <v>43479</v>
      </c>
      <c r="C44" s="105">
        <v>10</v>
      </c>
      <c r="D44" s="17" t="s">
        <v>708</v>
      </c>
      <c r="E44" s="17" t="s">
        <v>709</v>
      </c>
      <c r="F44" s="17" t="s">
        <v>710</v>
      </c>
      <c r="G44" s="18" t="s">
        <v>61</v>
      </c>
      <c r="H44" s="17" t="s">
        <v>58</v>
      </c>
      <c r="I44" s="17" t="s">
        <v>14</v>
      </c>
      <c r="J44" s="20" t="s">
        <v>14</v>
      </c>
    </row>
    <row r="45" spans="1:12" ht="16" x14ac:dyDescent="0.2">
      <c r="A45" s="16">
        <v>22</v>
      </c>
      <c r="B45" s="34">
        <v>43117</v>
      </c>
      <c r="C45" s="105">
        <v>12</v>
      </c>
      <c r="D45" s="17" t="s">
        <v>89</v>
      </c>
      <c r="E45" s="17" t="s">
        <v>90</v>
      </c>
      <c r="F45" s="17" t="s">
        <v>91</v>
      </c>
      <c r="G45" s="18" t="s">
        <v>92</v>
      </c>
      <c r="H45" s="17" t="s">
        <v>23</v>
      </c>
      <c r="I45" s="17" t="s">
        <v>93</v>
      </c>
      <c r="J45" s="20" t="s">
        <v>93</v>
      </c>
    </row>
    <row r="46" spans="1:12" ht="16" x14ac:dyDescent="0.2">
      <c r="A46" s="16">
        <v>23</v>
      </c>
      <c r="B46" s="34">
        <v>43479</v>
      </c>
      <c r="C46" s="105">
        <v>1</v>
      </c>
      <c r="D46" s="17" t="s">
        <v>711</v>
      </c>
      <c r="E46" s="17" t="s">
        <v>712</v>
      </c>
      <c r="F46" s="17" t="s">
        <v>713</v>
      </c>
      <c r="G46" s="18" t="s">
        <v>714</v>
      </c>
      <c r="H46" s="17" t="s">
        <v>23</v>
      </c>
      <c r="I46" s="17" t="s">
        <v>14</v>
      </c>
      <c r="J46" s="22" t="s">
        <v>14</v>
      </c>
    </row>
    <row r="47" spans="1:12" ht="16" x14ac:dyDescent="0.2">
      <c r="A47" s="16">
        <v>23</v>
      </c>
      <c r="B47" s="34">
        <v>43117</v>
      </c>
      <c r="C47" s="105">
        <v>33</v>
      </c>
      <c r="D47" s="17" t="s">
        <v>85</v>
      </c>
      <c r="E47" s="17" t="s">
        <v>94</v>
      </c>
      <c r="F47" s="17" t="s">
        <v>95</v>
      </c>
      <c r="G47" s="18" t="s">
        <v>96</v>
      </c>
      <c r="H47" s="17" t="s">
        <v>62</v>
      </c>
      <c r="I47" s="17" t="s">
        <v>14</v>
      </c>
      <c r="J47" s="22" t="s">
        <v>97</v>
      </c>
    </row>
    <row r="48" spans="1:12" ht="16" x14ac:dyDescent="0.2">
      <c r="A48" s="16">
        <v>24</v>
      </c>
      <c r="B48" s="34">
        <v>43119</v>
      </c>
      <c r="C48" s="105">
        <v>29</v>
      </c>
      <c r="D48" s="17" t="s">
        <v>98</v>
      </c>
      <c r="E48" s="17" t="s">
        <v>43</v>
      </c>
      <c r="F48" s="17"/>
      <c r="G48" s="18" t="s">
        <v>99</v>
      </c>
      <c r="H48" s="17" t="s">
        <v>23</v>
      </c>
      <c r="I48" s="17" t="s">
        <v>45</v>
      </c>
      <c r="J48" s="20" t="s">
        <v>45</v>
      </c>
    </row>
    <row r="49" spans="1:10" ht="16" x14ac:dyDescent="0.2">
      <c r="A49" s="16">
        <v>24</v>
      </c>
      <c r="B49" s="34">
        <v>43479</v>
      </c>
      <c r="C49" s="105">
        <v>19</v>
      </c>
      <c r="D49" s="17" t="s">
        <v>715</v>
      </c>
      <c r="E49" s="17" t="s">
        <v>716</v>
      </c>
      <c r="F49" s="17" t="s">
        <v>717</v>
      </c>
      <c r="G49" s="18" t="s">
        <v>718</v>
      </c>
      <c r="H49" s="17" t="s">
        <v>463</v>
      </c>
      <c r="I49" s="67" t="s">
        <v>14</v>
      </c>
      <c r="J49" s="22" t="s">
        <v>719</v>
      </c>
    </row>
    <row r="50" spans="1:10" ht="16" x14ac:dyDescent="0.2">
      <c r="A50" s="16">
        <v>25</v>
      </c>
      <c r="B50" s="34">
        <v>43480</v>
      </c>
      <c r="C50" s="105">
        <v>47</v>
      </c>
      <c r="D50" s="17" t="s">
        <v>689</v>
      </c>
      <c r="E50" s="17" t="s">
        <v>358</v>
      </c>
      <c r="F50" s="17" t="s">
        <v>720</v>
      </c>
      <c r="G50" s="18" t="s">
        <v>721</v>
      </c>
      <c r="H50" s="17" t="s">
        <v>13</v>
      </c>
      <c r="I50" s="23" t="s">
        <v>30</v>
      </c>
      <c r="J50" s="23" t="s">
        <v>30</v>
      </c>
    </row>
    <row r="51" spans="1:10" ht="16" x14ac:dyDescent="0.2">
      <c r="A51" s="16">
        <v>25</v>
      </c>
      <c r="B51" s="34">
        <v>43119</v>
      </c>
      <c r="C51" s="105">
        <v>20</v>
      </c>
      <c r="D51" s="17" t="s">
        <v>100</v>
      </c>
      <c r="E51" s="17" t="s">
        <v>101</v>
      </c>
      <c r="F51" s="17" t="s">
        <v>102</v>
      </c>
      <c r="G51" s="18" t="s">
        <v>103</v>
      </c>
      <c r="H51" s="17" t="s">
        <v>13</v>
      </c>
      <c r="I51" s="17" t="s">
        <v>104</v>
      </c>
      <c r="J51" s="20" t="s">
        <v>104</v>
      </c>
    </row>
    <row r="52" spans="1:10" ht="16" x14ac:dyDescent="0.2">
      <c r="A52" s="16">
        <v>26</v>
      </c>
      <c r="B52" s="34">
        <v>43119</v>
      </c>
      <c r="C52" s="105">
        <v>20</v>
      </c>
      <c r="D52" s="17" t="s">
        <v>100</v>
      </c>
      <c r="E52" s="17" t="s">
        <v>27</v>
      </c>
      <c r="F52" s="17" t="s">
        <v>105</v>
      </c>
      <c r="G52" s="18" t="s">
        <v>103</v>
      </c>
      <c r="H52" s="17" t="s">
        <v>13</v>
      </c>
      <c r="I52" s="17" t="s">
        <v>104</v>
      </c>
      <c r="J52" s="20" t="s">
        <v>104</v>
      </c>
    </row>
    <row r="53" spans="1:10" ht="16" x14ac:dyDescent="0.2">
      <c r="A53" s="16">
        <v>26</v>
      </c>
      <c r="B53" s="34">
        <v>43480</v>
      </c>
      <c r="C53" s="105">
        <v>39</v>
      </c>
      <c r="D53" s="17" t="s">
        <v>152</v>
      </c>
      <c r="E53" s="17" t="s">
        <v>467</v>
      </c>
      <c r="F53" s="17" t="s">
        <v>17</v>
      </c>
      <c r="G53" s="18" t="s">
        <v>722</v>
      </c>
      <c r="H53" s="17" t="s">
        <v>13</v>
      </c>
      <c r="I53" s="17" t="s">
        <v>543</v>
      </c>
      <c r="J53" s="20" t="s">
        <v>543</v>
      </c>
    </row>
    <row r="54" spans="1:10" ht="16" x14ac:dyDescent="0.2">
      <c r="A54" s="16">
        <v>27</v>
      </c>
      <c r="B54" s="34">
        <v>43481</v>
      </c>
      <c r="C54" s="105">
        <v>5</v>
      </c>
      <c r="D54" s="17" t="s">
        <v>695</v>
      </c>
      <c r="E54" s="17" t="s">
        <v>467</v>
      </c>
      <c r="F54" s="17" t="s">
        <v>723</v>
      </c>
      <c r="G54" s="18" t="s">
        <v>724</v>
      </c>
      <c r="H54" s="17" t="s">
        <v>13</v>
      </c>
      <c r="I54" s="17" t="s">
        <v>14</v>
      </c>
      <c r="J54" s="23" t="s">
        <v>14</v>
      </c>
    </row>
    <row r="55" spans="1:10" ht="16" x14ac:dyDescent="0.2">
      <c r="A55" s="16">
        <v>27</v>
      </c>
      <c r="B55" s="34">
        <v>43458</v>
      </c>
      <c r="C55" s="105">
        <v>39</v>
      </c>
      <c r="D55" s="17" t="s">
        <v>106</v>
      </c>
      <c r="E55" s="17" t="s">
        <v>107</v>
      </c>
      <c r="F55" s="17" t="s">
        <v>108</v>
      </c>
      <c r="G55" s="18" t="s">
        <v>109</v>
      </c>
      <c r="H55" s="17" t="s">
        <v>23</v>
      </c>
      <c r="I55" s="17" t="s">
        <v>14</v>
      </c>
      <c r="J55" s="20" t="s">
        <v>14</v>
      </c>
    </row>
    <row r="56" spans="1:10" ht="16" x14ac:dyDescent="0.2">
      <c r="A56" s="16">
        <v>28</v>
      </c>
      <c r="B56" s="34">
        <v>43482</v>
      </c>
      <c r="C56" s="105">
        <v>24</v>
      </c>
      <c r="D56" s="17" t="s">
        <v>59</v>
      </c>
      <c r="E56" s="17" t="s">
        <v>637</v>
      </c>
      <c r="F56" s="17" t="s">
        <v>497</v>
      </c>
      <c r="G56" s="18" t="s">
        <v>725</v>
      </c>
      <c r="H56" s="17" t="s">
        <v>23</v>
      </c>
      <c r="I56" s="67" t="s">
        <v>14</v>
      </c>
      <c r="J56" s="22" t="s">
        <v>14</v>
      </c>
    </row>
    <row r="57" spans="1:10" ht="16" x14ac:dyDescent="0.2">
      <c r="A57" s="16">
        <v>28</v>
      </c>
      <c r="B57" s="34">
        <v>43124</v>
      </c>
      <c r="C57" s="105" t="s">
        <v>80</v>
      </c>
      <c r="D57" s="17" t="s">
        <v>110</v>
      </c>
      <c r="E57" s="17"/>
      <c r="F57" s="17"/>
      <c r="G57" s="18" t="s">
        <v>111</v>
      </c>
      <c r="H57" s="17" t="s">
        <v>62</v>
      </c>
      <c r="I57" s="17" t="s">
        <v>84</v>
      </c>
      <c r="J57" s="20" t="s">
        <v>84</v>
      </c>
    </row>
    <row r="58" spans="1:10" ht="16" x14ac:dyDescent="0.2">
      <c r="A58" s="16">
        <v>29</v>
      </c>
      <c r="B58" s="34">
        <v>43125</v>
      </c>
      <c r="C58" s="105">
        <v>27</v>
      </c>
      <c r="D58" s="17" t="s">
        <v>63</v>
      </c>
      <c r="E58" s="17" t="s">
        <v>60</v>
      </c>
      <c r="F58" s="17" t="s">
        <v>112</v>
      </c>
      <c r="G58" s="18" t="s">
        <v>113</v>
      </c>
      <c r="H58" s="17" t="s">
        <v>62</v>
      </c>
      <c r="I58" s="38" t="s">
        <v>14</v>
      </c>
      <c r="J58" s="38" t="s">
        <v>114</v>
      </c>
    </row>
    <row r="59" spans="1:10" ht="32" x14ac:dyDescent="0.2">
      <c r="A59" s="16">
        <v>29</v>
      </c>
      <c r="B59" s="34">
        <v>43469</v>
      </c>
      <c r="C59" s="105">
        <v>17</v>
      </c>
      <c r="D59" s="17" t="s">
        <v>726</v>
      </c>
      <c r="E59" s="17" t="s">
        <v>32</v>
      </c>
      <c r="F59" s="17" t="s">
        <v>660</v>
      </c>
      <c r="G59" s="18" t="s">
        <v>727</v>
      </c>
      <c r="H59" s="17" t="s">
        <v>728</v>
      </c>
      <c r="I59" s="38" t="s">
        <v>181</v>
      </c>
      <c r="J59" s="38" t="s">
        <v>181</v>
      </c>
    </row>
    <row r="60" spans="1:10" ht="16" x14ac:dyDescent="0.2">
      <c r="A60" s="16">
        <v>30</v>
      </c>
      <c r="B60" s="34">
        <v>43125</v>
      </c>
      <c r="C60" s="105">
        <v>24</v>
      </c>
      <c r="D60" s="17" t="s">
        <v>59</v>
      </c>
      <c r="E60" s="17" t="s">
        <v>60</v>
      </c>
      <c r="F60" s="17" t="s">
        <v>115</v>
      </c>
      <c r="G60" s="18" t="s">
        <v>61</v>
      </c>
      <c r="H60" s="17" t="s">
        <v>62</v>
      </c>
      <c r="I60" s="17" t="s">
        <v>14</v>
      </c>
      <c r="J60" s="17" t="s">
        <v>114</v>
      </c>
    </row>
    <row r="61" spans="1:10" ht="16" x14ac:dyDescent="0.2">
      <c r="A61" s="16">
        <v>30</v>
      </c>
      <c r="B61" s="34">
        <v>43480</v>
      </c>
      <c r="C61" s="105">
        <v>3</v>
      </c>
      <c r="D61" s="17" t="s">
        <v>295</v>
      </c>
      <c r="E61" s="17" t="s">
        <v>202</v>
      </c>
      <c r="F61" s="17" t="s">
        <v>321</v>
      </c>
      <c r="G61" s="18" t="s">
        <v>729</v>
      </c>
      <c r="H61" s="17" t="s">
        <v>13</v>
      </c>
      <c r="I61" s="17" t="s">
        <v>136</v>
      </c>
      <c r="J61" s="17" t="s">
        <v>136</v>
      </c>
    </row>
    <row r="62" spans="1:10" x14ac:dyDescent="0.2">
      <c r="A62" s="16">
        <v>31</v>
      </c>
      <c r="B62" s="34">
        <v>43125</v>
      </c>
      <c r="C62" s="105">
        <v>26</v>
      </c>
      <c r="D62" s="17" t="s">
        <v>110</v>
      </c>
      <c r="E62" s="17" t="s">
        <v>64</v>
      </c>
      <c r="F62" s="17" t="s">
        <v>17</v>
      </c>
      <c r="G62" s="46" t="s">
        <v>61</v>
      </c>
      <c r="H62" s="17" t="s">
        <v>62</v>
      </c>
      <c r="I62" s="17" t="s">
        <v>14</v>
      </c>
      <c r="J62" s="17" t="s">
        <v>14</v>
      </c>
    </row>
    <row r="63" spans="1:10" ht="16" x14ac:dyDescent="0.2">
      <c r="A63" s="16">
        <v>31</v>
      </c>
      <c r="B63" s="34">
        <v>43474</v>
      </c>
      <c r="C63" s="105">
        <v>8</v>
      </c>
      <c r="D63" s="17" t="s">
        <v>500</v>
      </c>
      <c r="E63" s="17" t="s">
        <v>566</v>
      </c>
      <c r="F63" s="17" t="s">
        <v>545</v>
      </c>
      <c r="G63" s="18" t="s">
        <v>294</v>
      </c>
      <c r="H63" s="17" t="s">
        <v>119</v>
      </c>
      <c r="I63" s="17" t="s">
        <v>181</v>
      </c>
      <c r="J63" s="38" t="s">
        <v>181</v>
      </c>
    </row>
    <row r="64" spans="1:10" ht="32" x14ac:dyDescent="0.2">
      <c r="A64" s="16">
        <v>32</v>
      </c>
      <c r="B64" s="34">
        <v>43486</v>
      </c>
      <c r="C64" s="105">
        <v>4</v>
      </c>
      <c r="D64" s="17" t="s">
        <v>730</v>
      </c>
      <c r="E64" s="17" t="s">
        <v>60</v>
      </c>
      <c r="F64" s="17" t="s">
        <v>731</v>
      </c>
      <c r="G64" s="18" t="s">
        <v>732</v>
      </c>
      <c r="H64" s="17" t="s">
        <v>23</v>
      </c>
      <c r="I64" s="17" t="s">
        <v>119</v>
      </c>
      <c r="J64" s="17" t="s">
        <v>119</v>
      </c>
    </row>
    <row r="65" spans="1:12" ht="16" x14ac:dyDescent="0.2">
      <c r="A65" s="16">
        <v>32</v>
      </c>
      <c r="B65" s="34">
        <v>43125</v>
      </c>
      <c r="C65" s="105">
        <v>17</v>
      </c>
      <c r="D65" s="17" t="s">
        <v>116</v>
      </c>
      <c r="E65" s="17" t="s">
        <v>117</v>
      </c>
      <c r="F65" s="17" t="s">
        <v>17</v>
      </c>
      <c r="G65" s="18" t="s">
        <v>118</v>
      </c>
      <c r="H65" s="17" t="s">
        <v>23</v>
      </c>
      <c r="I65" s="17" t="s">
        <v>119</v>
      </c>
      <c r="J65" s="20" t="s">
        <v>119</v>
      </c>
    </row>
    <row r="66" spans="1:12" ht="16" x14ac:dyDescent="0.2">
      <c r="A66" s="16">
        <v>33</v>
      </c>
      <c r="B66" s="34">
        <v>43125</v>
      </c>
      <c r="C66" s="105">
        <v>31</v>
      </c>
      <c r="D66" s="17" t="s">
        <v>120</v>
      </c>
      <c r="E66" s="17" t="s">
        <v>121</v>
      </c>
      <c r="F66" s="17" t="s">
        <v>122</v>
      </c>
      <c r="G66" s="18" t="s">
        <v>123</v>
      </c>
      <c r="H66" s="17" t="s">
        <v>62</v>
      </c>
      <c r="I66" s="17" t="s">
        <v>14</v>
      </c>
      <c r="J66" s="17" t="s">
        <v>14</v>
      </c>
    </row>
    <row r="67" spans="1:12" ht="16" x14ac:dyDescent="0.2">
      <c r="A67" s="16">
        <v>33</v>
      </c>
      <c r="B67" s="34">
        <v>43480</v>
      </c>
      <c r="C67" s="105">
        <v>8</v>
      </c>
      <c r="D67" s="17" t="s">
        <v>161</v>
      </c>
      <c r="E67" s="17" t="s">
        <v>693</v>
      </c>
      <c r="F67" s="17" t="s">
        <v>733</v>
      </c>
      <c r="G67" s="18" t="s">
        <v>542</v>
      </c>
      <c r="H67" s="17" t="s">
        <v>119</v>
      </c>
      <c r="I67" s="17" t="s">
        <v>181</v>
      </c>
      <c r="J67" s="38" t="s">
        <v>181</v>
      </c>
    </row>
    <row r="68" spans="1:12" ht="16" x14ac:dyDescent="0.2">
      <c r="A68" s="16">
        <v>34</v>
      </c>
      <c r="B68" s="34">
        <v>43488</v>
      </c>
      <c r="C68" s="105">
        <v>43</v>
      </c>
      <c r="D68" s="17" t="s">
        <v>253</v>
      </c>
      <c r="E68" s="17" t="s">
        <v>734</v>
      </c>
      <c r="F68" s="17" t="s">
        <v>17</v>
      </c>
      <c r="G68" s="18" t="s">
        <v>61</v>
      </c>
      <c r="H68" s="17" t="s">
        <v>23</v>
      </c>
      <c r="I68" s="17" t="s">
        <v>14</v>
      </c>
      <c r="J68" s="17" t="s">
        <v>14</v>
      </c>
    </row>
    <row r="69" spans="1:12" ht="15" customHeight="1" x14ac:dyDescent="0.2">
      <c r="A69" s="16">
        <v>34</v>
      </c>
      <c r="B69" s="34">
        <v>43126</v>
      </c>
      <c r="C69" s="105">
        <v>32</v>
      </c>
      <c r="D69" s="17" t="s">
        <v>39</v>
      </c>
      <c r="E69" s="17" t="s">
        <v>60</v>
      </c>
      <c r="F69" s="17" t="s">
        <v>124</v>
      </c>
      <c r="G69" s="119" t="s">
        <v>125</v>
      </c>
      <c r="H69" s="17" t="s">
        <v>62</v>
      </c>
      <c r="I69" s="17" t="s">
        <v>19</v>
      </c>
      <c r="J69" s="21" t="s">
        <v>126</v>
      </c>
      <c r="K69" s="24"/>
      <c r="L69" s="25"/>
    </row>
    <row r="70" spans="1:12" ht="16" x14ac:dyDescent="0.2">
      <c r="A70" s="16">
        <v>35</v>
      </c>
      <c r="B70" s="34">
        <v>43126</v>
      </c>
      <c r="C70" s="105">
        <v>32</v>
      </c>
      <c r="D70" s="17" t="s">
        <v>39</v>
      </c>
      <c r="E70" s="17" t="s">
        <v>60</v>
      </c>
      <c r="F70" s="17" t="s">
        <v>124</v>
      </c>
      <c r="G70" s="18" t="s">
        <v>127</v>
      </c>
      <c r="H70" s="17" t="s">
        <v>62</v>
      </c>
      <c r="I70" s="17" t="s">
        <v>14</v>
      </c>
      <c r="J70" s="17" t="s">
        <v>14</v>
      </c>
    </row>
    <row r="71" spans="1:12" ht="16" x14ac:dyDescent="0.2">
      <c r="A71" s="16">
        <v>35</v>
      </c>
      <c r="B71" s="34">
        <v>43489</v>
      </c>
      <c r="C71" s="105">
        <v>3</v>
      </c>
      <c r="D71" s="17" t="str">
        <f>IF(C71=1,"Roßstr. 9",IF(C71=2,"Pfalzstr. 17",IF(C71=3,"Schlossstr. 19",IF(C71=4,"Neanderstr. 15",IF(C71=5,"Luisenstr. 3",IF(C71=6,"Lindenstr. 267",IF(C71=7,"Engerstr. 3",IF(C71=8,"Schützenstr. 20",IF(C71=9,"Stockkampstr. 47",IF(C71=10,"Driburgerstr. 8",IF(C71=11,"Kölnerstr. 261",IF(C71=12,"Merowingerstr. 17",IF(C71=13,"Borsigstr. 7",IF(C71=14,"Gerresheimer Landstr. 152",IF(C71=15,"Hoppengarten 15",IF(C71=16,"Hoppengarten 17",IF(C71=17,"Könerstr. 215",IF(C71=18,"Kölnerstr. 217",IF(C71=19,"Alte Bachstr. 25",IF(C71=20,"Kranzstr. 103",IF(C71=21,"Broicherdorfstr. 3",IF(C71=22,"Grafenberger Allee 235",IF(C71=23,"Börnestr. 2",IF(C71=24,"Angerbenden 31",IF(C71=25,"Koppelskamp 10",IF(C71=26,"Koppelskamp 12",IF(C71=27,"Koppelskamp 14")))))))))))))))))))))))))))</f>
        <v>Schlossstr. 19</v>
      </c>
      <c r="E71" s="17" t="s">
        <v>735</v>
      </c>
      <c r="F71" s="17" t="s">
        <v>321</v>
      </c>
      <c r="G71" s="18" t="s">
        <v>294</v>
      </c>
      <c r="H71" s="17" t="s">
        <v>13</v>
      </c>
      <c r="I71" s="17" t="s">
        <v>181</v>
      </c>
      <c r="J71" s="17" t="s">
        <v>181</v>
      </c>
    </row>
    <row r="72" spans="1:12" ht="16" x14ac:dyDescent="0.2">
      <c r="A72" s="16">
        <v>36</v>
      </c>
      <c r="B72" s="34">
        <v>43126</v>
      </c>
      <c r="C72" s="105">
        <v>25</v>
      </c>
      <c r="D72" s="17" t="s">
        <v>128</v>
      </c>
      <c r="E72" s="17" t="s">
        <v>129</v>
      </c>
      <c r="F72" s="17" t="s">
        <v>17</v>
      </c>
      <c r="G72" s="18" t="s">
        <v>130</v>
      </c>
      <c r="H72" s="17" t="s">
        <v>62</v>
      </c>
      <c r="I72" s="17" t="s">
        <v>14</v>
      </c>
      <c r="J72" s="17" t="s">
        <v>14</v>
      </c>
    </row>
    <row r="73" spans="1:12" ht="16" x14ac:dyDescent="0.2">
      <c r="A73" s="16">
        <v>36</v>
      </c>
      <c r="B73" s="34">
        <v>43489</v>
      </c>
      <c r="C73" s="105">
        <v>6</v>
      </c>
      <c r="D73" s="17" t="str">
        <f>IF(C73=1,"Roßstr. 9",IF(C73=2,"Pfalzstr. 17",IF(C73=3,"Schlossstr. 19",IF(C73=4,"Neanderstr. 15",IF(C73=5,"Luisenstr. 3",IF(C73=6,"Lindenstr. 267",IF(C73=7,"Engerstr. 3",IF(C73=8,"Schützenstr. 20",IF(C73=9,"Stockkampstr. 47",IF(C73=10,"Driburgerstr. 8",IF(C73=11,"Kölnerstr. 261",IF(C73=12,"Merowingerstr. 17",IF(C73=13,"Borsigstr. 7",IF(C73=14,"Gerresheimer Landstr. 152",IF(C73=15,"Hoppengarten 15",IF(C73=16,"Hoppengarten 17",IF(C73=17,"Könerstr. 215",IF(C73=18,"Kölnerstr. 217",IF(C73=19,"Alte Bachstr. 25",IF(C73=20,"Kranzstr. 103",IF(C73=21,"Broicherdorfstr. 3",IF(C73=22,"Grafenberger Allee 235",IF(C73=23,"Börnestr. 2",IF(C73=24,"Angerbenden 31",IF(C73=25,"Koppelskamp 10",IF(C73=26,"Koppelskamp 12",IF(C73=27,"Koppelskamp 14")))))))))))))))))))))))))))</f>
        <v>Lindenstr. 267</v>
      </c>
      <c r="E73" s="17" t="s">
        <v>693</v>
      </c>
      <c r="F73" s="17" t="s">
        <v>589</v>
      </c>
      <c r="G73" s="18" t="s">
        <v>736</v>
      </c>
      <c r="H73" s="17" t="s">
        <v>13</v>
      </c>
      <c r="I73" s="17" t="s">
        <v>19</v>
      </c>
      <c r="J73" s="17" t="s">
        <v>19</v>
      </c>
      <c r="K73" s="43" t="s">
        <v>237</v>
      </c>
    </row>
    <row r="74" spans="1:12" ht="16" x14ac:dyDescent="0.2">
      <c r="A74" s="16">
        <v>37</v>
      </c>
      <c r="B74" s="34">
        <v>43489</v>
      </c>
      <c r="C74" s="105">
        <v>46</v>
      </c>
      <c r="D74" s="17" t="s">
        <v>640</v>
      </c>
      <c r="E74" s="17" t="s">
        <v>138</v>
      </c>
      <c r="F74" s="17" t="s">
        <v>17</v>
      </c>
      <c r="G74" s="18" t="s">
        <v>737</v>
      </c>
      <c r="H74" s="17" t="s">
        <v>13</v>
      </c>
      <c r="I74" s="17" t="s">
        <v>411</v>
      </c>
      <c r="J74" s="17" t="s">
        <v>411</v>
      </c>
    </row>
    <row r="75" spans="1:12" ht="16" x14ac:dyDescent="0.2">
      <c r="A75" s="16">
        <v>37</v>
      </c>
      <c r="B75" s="34">
        <v>43129</v>
      </c>
      <c r="C75" s="105">
        <v>26</v>
      </c>
      <c r="D75" s="17" t="s">
        <v>110</v>
      </c>
      <c r="E75" s="17" t="s">
        <v>10</v>
      </c>
      <c r="F75" s="17" t="s">
        <v>131</v>
      </c>
      <c r="G75" s="18" t="s">
        <v>132</v>
      </c>
      <c r="H75" s="17" t="s">
        <v>13</v>
      </c>
      <c r="I75" s="17" t="s">
        <v>119</v>
      </c>
      <c r="J75" s="17" t="s">
        <v>119</v>
      </c>
    </row>
    <row r="76" spans="1:12" ht="16" x14ac:dyDescent="0.2">
      <c r="A76" s="16">
        <v>38</v>
      </c>
      <c r="B76" s="34">
        <v>43487</v>
      </c>
      <c r="C76" s="105">
        <v>33</v>
      </c>
      <c r="D76" s="17" t="s">
        <v>85</v>
      </c>
      <c r="E76" s="17" t="s">
        <v>657</v>
      </c>
      <c r="F76" s="17"/>
      <c r="G76" s="18" t="s">
        <v>738</v>
      </c>
      <c r="H76" s="17" t="s">
        <v>13</v>
      </c>
      <c r="I76" s="17" t="s">
        <v>739</v>
      </c>
      <c r="J76" s="21" t="s">
        <v>967</v>
      </c>
    </row>
    <row r="77" spans="1:12" ht="16" x14ac:dyDescent="0.2">
      <c r="A77" s="16">
        <v>38</v>
      </c>
      <c r="B77" s="34">
        <v>43104</v>
      </c>
      <c r="C77" s="105">
        <v>11</v>
      </c>
      <c r="D77" s="17" t="s">
        <v>133</v>
      </c>
      <c r="E77" s="17" t="s">
        <v>134</v>
      </c>
      <c r="F77" s="17"/>
      <c r="G77" s="18" t="s">
        <v>135</v>
      </c>
      <c r="H77" s="17" t="s">
        <v>13</v>
      </c>
      <c r="I77" s="17" t="s">
        <v>136</v>
      </c>
      <c r="J77" s="17" t="s">
        <v>136</v>
      </c>
    </row>
    <row r="78" spans="1:12" ht="16" x14ac:dyDescent="0.2">
      <c r="A78" s="16">
        <v>39</v>
      </c>
      <c r="B78" s="34">
        <v>43130</v>
      </c>
      <c r="C78" s="105">
        <v>16</v>
      </c>
      <c r="D78" s="17" t="s">
        <v>137</v>
      </c>
      <c r="E78" s="17" t="s">
        <v>138</v>
      </c>
      <c r="F78" s="17" t="s">
        <v>139</v>
      </c>
      <c r="G78" s="18" t="s">
        <v>140</v>
      </c>
      <c r="H78" s="17" t="s">
        <v>13</v>
      </c>
      <c r="I78" s="38" t="s">
        <v>119</v>
      </c>
      <c r="J78" s="56" t="s">
        <v>119</v>
      </c>
    </row>
    <row r="79" spans="1:12" ht="16" x14ac:dyDescent="0.2">
      <c r="A79" s="16">
        <v>39</v>
      </c>
      <c r="B79" s="34">
        <v>43490</v>
      </c>
      <c r="C79" s="105">
        <v>9</v>
      </c>
      <c r="D79" s="17" t="str">
        <f>IF(C79=1,"Roßstr. 9",IF(C79=2,"Pfalzstr. 17",IF(C79=3,"Schlossstr. 19",IF(C79=4,"Neanderstr. 15",IF(C79=5,"Luisenstr. 3",IF(C79=6,"Lindenstr. 267",IF(C79=7,"Engerstr. 3",IF(C79=8,"Schützenstr. 20",IF(C79=9,"Stockkampstr. 47",IF(C79=10,"Driburgerstr. 8",IF(C79=11,"Kölnerstr. 261",IF(C79=12,"Merowingerstr. 17",IF(C79=13,"Borsigstr. 7",IF(C79=14,"Gerresheimer Landstr. 152",IF(C79=15,"Hoppengarten 15",IF(C79=16,"Hoppengarten 17",IF(C79=17,"Könerstr. 215",IF(C79=18,"Kölnerstr. 217",IF(C79=19,"Alte Bachstr. 25",IF(C79=20,"Kranzstr. 103",IF(C79=21,"Broicherdorfstr. 3",IF(C79=22,"Grafenberger Allee 235",IF(C79=23,"Börnestr. 2",IF(C79=24,"Angerbenden 31",IF(C79=25,"Koppelskamp 10",IF(C79=26,"Koppelskamp 12",IF(C79=27,"Koppelskamp 14")))))))))))))))))))))))))))</f>
        <v>Stockkampstr. 47</v>
      </c>
      <c r="E79" s="17" t="s">
        <v>740</v>
      </c>
      <c r="F79" s="17" t="s">
        <v>741</v>
      </c>
      <c r="G79" s="18" t="s">
        <v>742</v>
      </c>
      <c r="H79" s="17" t="s">
        <v>13</v>
      </c>
      <c r="I79" s="17" t="s">
        <v>181</v>
      </c>
      <c r="J79" s="17" t="s">
        <v>181</v>
      </c>
    </row>
    <row r="80" spans="1:12" ht="16" x14ac:dyDescent="0.2">
      <c r="A80" s="16">
        <v>40</v>
      </c>
      <c r="B80" s="34">
        <v>43130</v>
      </c>
      <c r="C80" s="105">
        <v>16</v>
      </c>
      <c r="D80" s="17" t="s">
        <v>137</v>
      </c>
      <c r="E80" s="17" t="s">
        <v>121</v>
      </c>
      <c r="F80" s="17" t="s">
        <v>141</v>
      </c>
      <c r="G80" s="18" t="s">
        <v>142</v>
      </c>
      <c r="H80" s="17" t="s">
        <v>13</v>
      </c>
      <c r="I80" s="17" t="s">
        <v>119</v>
      </c>
      <c r="J80" s="17" t="s">
        <v>119</v>
      </c>
      <c r="K80" s="26"/>
    </row>
    <row r="81" spans="1:10" ht="16" x14ac:dyDescent="0.2">
      <c r="A81" s="16">
        <v>40</v>
      </c>
      <c r="B81" s="34">
        <v>43493</v>
      </c>
      <c r="C81" s="105">
        <v>8</v>
      </c>
      <c r="D81" s="17" t="str">
        <f>IF(C81=1,"Roßstr. 9",IF(C81=2,"Pfalzstr. 17",IF(C81=3,"Schlossstr. 19",IF(C81=4,"Neanderstr. 15",IF(C81=5,"Luisenstr. 3",IF(C81=6,"Lindenstr. 267",IF(C81=7,"Engerstr. 3",IF(C81=8,"Schützenstr. 20",IF(C81=9,"Stockkampstr. 47",IF(C81=10,"Driburgerstr. 8",IF(C81=11,"Kölnerstr. 261",IF(C81=12,"Merowingerstr. 17",IF(C81=13,"Borsigstr. 7",IF(C81=14,"Gerresheimer Landstr. 152",IF(C81=15,"Hoppengarten 15",IF(C81=16,"Hoppengarten 17",IF(C81=17,"Könerstr. 215",IF(C81=18,"Kölnerstr. 217",IF(C81=19,"Alte Bachstr. 25",IF(C81=20,"Kranzstr. 103",IF(C81=21,"Broicherdorfstr. 3",IF(C81=22,"Grafenberger Allee 235",IF(C81=23,"Börnestr. 2",IF(C81=24,"Angerbenden 31",IF(C81=25,"Koppelskamp 10",IF(C81=26,"Koppelskamp 12",IF(C81=27,"Koppelskamp 14")))))))))))))))))))))))))))</f>
        <v>Schützenstr. 20</v>
      </c>
      <c r="E81" s="17" t="s">
        <v>16</v>
      </c>
      <c r="F81" s="17" t="s">
        <v>743</v>
      </c>
      <c r="G81" s="18" t="s">
        <v>542</v>
      </c>
      <c r="H81" s="17" t="s">
        <v>13</v>
      </c>
      <c r="I81" s="17" t="s">
        <v>181</v>
      </c>
      <c r="J81" s="17" t="s">
        <v>181</v>
      </c>
    </row>
    <row r="82" spans="1:10" ht="16" x14ac:dyDescent="0.2">
      <c r="A82" s="16">
        <v>41</v>
      </c>
      <c r="B82" s="34">
        <v>43493</v>
      </c>
      <c r="C82" s="105">
        <v>46</v>
      </c>
      <c r="D82" s="17" t="s">
        <v>640</v>
      </c>
      <c r="E82" s="17" t="s">
        <v>10</v>
      </c>
      <c r="F82" s="17" t="s">
        <v>17</v>
      </c>
      <c r="G82" s="18" t="s">
        <v>744</v>
      </c>
      <c r="H82" s="17" t="s">
        <v>13</v>
      </c>
      <c r="I82" s="17" t="s">
        <v>14</v>
      </c>
      <c r="J82" s="21" t="s">
        <v>14</v>
      </c>
    </row>
    <row r="83" spans="1:10" ht="16" x14ac:dyDescent="0.2">
      <c r="A83" s="16">
        <v>41</v>
      </c>
      <c r="B83" s="34">
        <v>43131</v>
      </c>
      <c r="C83" s="105">
        <v>45</v>
      </c>
      <c r="D83" s="17" t="s">
        <v>15</v>
      </c>
      <c r="E83" s="17" t="s">
        <v>16</v>
      </c>
      <c r="F83" s="17" t="s">
        <v>143</v>
      </c>
      <c r="G83" s="18" t="s">
        <v>144</v>
      </c>
      <c r="H83" s="17" t="s">
        <v>13</v>
      </c>
      <c r="I83" s="17" t="s">
        <v>145</v>
      </c>
      <c r="J83" s="17" t="s">
        <v>145</v>
      </c>
    </row>
    <row r="84" spans="1:10" ht="16" x14ac:dyDescent="0.2">
      <c r="A84" s="16">
        <v>42</v>
      </c>
      <c r="B84" s="34">
        <v>43131</v>
      </c>
      <c r="C84" s="105">
        <v>32</v>
      </c>
      <c r="D84" s="17" t="s">
        <v>39</v>
      </c>
      <c r="E84" s="17" t="s">
        <v>146</v>
      </c>
      <c r="F84" s="17" t="s">
        <v>147</v>
      </c>
      <c r="G84" s="18" t="s">
        <v>127</v>
      </c>
      <c r="H84" s="17" t="s">
        <v>62</v>
      </c>
      <c r="I84" s="23" t="s">
        <v>14</v>
      </c>
      <c r="J84" s="23" t="s">
        <v>14</v>
      </c>
    </row>
    <row r="85" spans="1:10" ht="16" x14ac:dyDescent="0.2">
      <c r="A85" s="16">
        <v>42</v>
      </c>
      <c r="B85" s="34">
        <v>43493</v>
      </c>
      <c r="C85" s="105">
        <v>13</v>
      </c>
      <c r="D85" s="17" t="str">
        <f>IF(C85=1,"Roßstr. 9",IF(C85=2,"Pfalzstr. 17",IF(C85=3,"Schlossstr. 19",IF(C85=4,"Neanderstr. 15",IF(C85=5,"Luisenstr. 3",IF(C85=6,"Lindenstr. 267",IF(C85=7,"Engerstr. 3",IF(C85=8,"Schützenstr. 20",IF(C85=9,"Stockkampstr. 47",IF(C85=10,"Driburgerstr. 8",IF(C85=11,"Kölnerstr. 261",IF(C85=12,"Merowingerstr. 17",IF(C85=13,"Borsigstr. 7",IF(C85=14,"Gerresheimer Landstr. 152",IF(C85=15,"Hoppengarten 15",IF(C85=16,"Hoppengarten 17",IF(C85=17,"Könerstr. 215",IF(C85=18,"Kölnerstr. 217",IF(C85=19,"Alte Bachstr. 25",IF(C85=20,"Kranzstr. 103",IF(C85=21,"Broicherdorfstr. 3",IF(C85=22,"Grafenberger Allee 235",IF(C85=23,"Börnestr. 2",IF(C85=24,"Angerbenden 31",IF(C85=25,"Koppelskamp 10",IF(C85=26,"Koppelskamp 12",IF(C85=27,"Koppelskamp 14")))))))))))))))))))))))))))</f>
        <v>Borsigstr. 7</v>
      </c>
      <c r="E85" s="17" t="s">
        <v>202</v>
      </c>
      <c r="F85" s="17" t="s">
        <v>745</v>
      </c>
      <c r="G85" s="18" t="s">
        <v>746</v>
      </c>
      <c r="H85" s="17" t="s">
        <v>13</v>
      </c>
      <c r="I85" s="23" t="s">
        <v>48</v>
      </c>
      <c r="J85" s="23" t="s">
        <v>48</v>
      </c>
    </row>
    <row r="86" spans="1:10" ht="16" x14ac:dyDescent="0.2">
      <c r="A86" s="16">
        <v>43</v>
      </c>
      <c r="B86" s="34">
        <v>43495</v>
      </c>
      <c r="C86" s="105">
        <v>9</v>
      </c>
      <c r="D86" s="17" t="str">
        <f>IF(C86=1,"Roßstr. 9",IF(C86=2,"Pfalzstr. 17",IF(C86=3,"Schlossstr. 19",IF(C86=4,"Neanderstr. 15",IF(C86=5,"Luisenstr. 3",IF(C86=6,"Lindenstr. 267",IF(C86=7,"Engerstr. 3",IF(C86=8,"Schützenstr. 20",IF(C86=9,"Stockkampstr. 47",IF(C86=10,"Driburgerstr. 8",IF(C86=11,"Kölnerstr. 261",IF(C86=12,"Merowingerstr. 17",IF(C86=13,"Borsigstr. 7",IF(C86=14,"Gerresheimer Landstr. 152",IF(C86=15,"Hoppengarten 15",IF(C86=16,"Hoppengarten 17",IF(C86=17,"Könerstr. 215",IF(C86=18,"Kölnerstr. 217",IF(C86=19,"Alte Bachstr. 25",IF(C86=20,"Kranzstr. 103",IF(C86=21,"Broicherdorfstr. 3",IF(C86=22,"Grafenberger Allee 235",IF(C86=23,"Börnestr. 2",IF(C86=24,"Angerbenden 31",IF(C86=25,"Koppelskamp 10",IF(C86=26,"Koppelskamp 12",IF(C86=27,"Koppelskamp 14")))))))))))))))))))))))))))</f>
        <v>Stockkampstr. 47</v>
      </c>
      <c r="E86" s="17" t="s">
        <v>712</v>
      </c>
      <c r="F86" s="17" t="s">
        <v>747</v>
      </c>
      <c r="G86" s="18" t="s">
        <v>748</v>
      </c>
      <c r="H86" s="17" t="s">
        <v>58</v>
      </c>
      <c r="I86" s="17" t="s">
        <v>14</v>
      </c>
      <c r="J86" s="22" t="s">
        <v>14</v>
      </c>
    </row>
    <row r="87" spans="1:10" ht="16" x14ac:dyDescent="0.2">
      <c r="A87" s="16">
        <v>43</v>
      </c>
      <c r="B87" s="34">
        <v>43132</v>
      </c>
      <c r="C87" s="105">
        <v>2</v>
      </c>
      <c r="D87" s="17" t="s">
        <v>148</v>
      </c>
      <c r="E87" s="17" t="s">
        <v>149</v>
      </c>
      <c r="F87" s="17" t="s">
        <v>150</v>
      </c>
      <c r="G87" s="18" t="s">
        <v>151</v>
      </c>
      <c r="H87" s="17" t="s">
        <v>13</v>
      </c>
      <c r="I87" s="17" t="s">
        <v>119</v>
      </c>
      <c r="J87" s="22" t="s">
        <v>119</v>
      </c>
    </row>
    <row r="88" spans="1:10" ht="16" x14ac:dyDescent="0.2">
      <c r="A88" s="16">
        <v>44</v>
      </c>
      <c r="B88" s="34">
        <v>43101</v>
      </c>
      <c r="C88" s="105">
        <v>39</v>
      </c>
      <c r="D88" s="17" t="s">
        <v>152</v>
      </c>
      <c r="E88" s="17" t="s">
        <v>10</v>
      </c>
      <c r="F88" s="17" t="s">
        <v>153</v>
      </c>
      <c r="G88" s="18" t="s">
        <v>154</v>
      </c>
      <c r="H88" s="17" t="s">
        <v>13</v>
      </c>
      <c r="I88" s="17" t="s">
        <v>119</v>
      </c>
      <c r="J88" s="20" t="s">
        <v>119</v>
      </c>
    </row>
    <row r="89" spans="1:10" ht="16" x14ac:dyDescent="0.2">
      <c r="A89" s="16">
        <v>44</v>
      </c>
      <c r="B89" s="34">
        <v>43495</v>
      </c>
      <c r="C89" s="105">
        <v>41</v>
      </c>
      <c r="D89" s="17" t="s">
        <v>26</v>
      </c>
      <c r="E89" s="17" t="s">
        <v>637</v>
      </c>
      <c r="F89" s="17" t="s">
        <v>430</v>
      </c>
      <c r="G89" s="18" t="s">
        <v>749</v>
      </c>
      <c r="H89" s="17" t="s">
        <v>13</v>
      </c>
      <c r="I89" s="21" t="s">
        <v>706</v>
      </c>
      <c r="J89" s="22" t="s">
        <v>706</v>
      </c>
    </row>
    <row r="90" spans="1:10" ht="16" x14ac:dyDescent="0.2">
      <c r="A90" s="109">
        <v>45</v>
      </c>
      <c r="B90" s="34">
        <v>43496</v>
      </c>
      <c r="C90" s="105">
        <v>19</v>
      </c>
      <c r="D90" s="17" t="str">
        <f>IF(C90=1,"Roßstr. 9",IF(C90=2,"Pfalzstr. 17",IF(C90=3,"Schlossstr. 19",IF(C90=4,"Neanderstr. 15",IF(C90=5,"Luisenstr. 3",IF(C90=6,"Lindenstr. 267",IF(C90=7,"Engerstr. 3",IF(C90=8,"Schützenstr. 20",IF(C90=9,"Stockkampstr. 47",IF(C90=10,"Driburgerstr. 8",IF(C90=11,"Kölnerstr. 261",IF(C90=12,"Merowingerstr. 17",IF(C90=13,"Borsigstr. 7",IF(C90=14,"Gerresheimer Landstr. 152",IF(C90=15,"Hoppengarten 15",IF(C90=16,"Hoppengarten 17",IF(C90=17,"Könerstr. 215",IF(C90=18,"Kölnerstr. 217",IF(C90=19,"Alte Bachstr. 25",IF(C90=20,"Kranzstr. 103",IF(C90=21,"Broicherdorfstr. 3",IF(C90=22,"Grafenberger Allee 235",IF(C90=23,"Börnestr. 2",IF(C90=24,"Angerbenden 31",IF(C90=25,"Koppelskamp 10",IF(C90=26,"Koppelskamp 12",IF(C90=27,"Koppelskamp 14")))))))))))))))))))))))))))</f>
        <v>Alte Bachstr. 25</v>
      </c>
      <c r="E90" s="17" t="s">
        <v>750</v>
      </c>
      <c r="F90" s="17" t="s">
        <v>751</v>
      </c>
      <c r="G90" s="18" t="s">
        <v>752</v>
      </c>
      <c r="H90" s="17" t="s">
        <v>23</v>
      </c>
      <c r="I90" s="23" t="s">
        <v>306</v>
      </c>
      <c r="J90" s="23" t="s">
        <v>14</v>
      </c>
    </row>
    <row r="91" spans="1:10" ht="16" x14ac:dyDescent="0.2">
      <c r="A91" s="16">
        <v>45</v>
      </c>
      <c r="B91" s="34">
        <v>43132</v>
      </c>
      <c r="C91" s="105">
        <v>45</v>
      </c>
      <c r="D91" s="17" t="s">
        <v>155</v>
      </c>
      <c r="E91" s="17" t="s">
        <v>156</v>
      </c>
      <c r="F91" s="17"/>
      <c r="G91" s="18" t="s">
        <v>157</v>
      </c>
      <c r="H91" s="17" t="s">
        <v>23</v>
      </c>
      <c r="I91" s="17" t="s">
        <v>158</v>
      </c>
      <c r="J91" s="20" t="s">
        <v>45</v>
      </c>
    </row>
    <row r="92" spans="1:10" ht="16" x14ac:dyDescent="0.2">
      <c r="A92" s="109">
        <v>46</v>
      </c>
      <c r="B92" s="34">
        <v>43462</v>
      </c>
      <c r="C92" s="105">
        <v>20</v>
      </c>
      <c r="D92" s="17" t="str">
        <f>IF(C92=1,"Roßstr. 9",IF(C92=2,"Pfalzstr. 17",IF(C92=3,"Schlossstr. 19",IF(C92=4,"Neanderstr. 15",IF(C92=5,"Luisenstr. 3",IF(C92=6,"Lindenstr. 267",IF(C92=7,"Engerstr. 3",IF(C92=8,"Schützenstr. 20",IF(C92=9,"Stockkampstr. 47",IF(C92=10,"Driburgerstr. 8",IF(C92=11,"Kölnerstr. 261",IF(C92=12,"Merowingerstr. 17",IF(C92=13,"Borsigstr. 7",IF(C92=14,"Gerresheimer Landstr. 152",IF(C92=15,"Hoppengarten 15",IF(C92=16,"Hoppengarten 17",IF(C92=17,"Könerstr. 215",IF(C92=18,"Kölnerstr. 217",IF(C92=19,"Alte Bachstr. 25",IF(C92=20,"Kranzstr. 103",IF(C92=21,"Broicherdorfstr. 3",IF(C92=22,"Grafenberger Allee 235",IF(C92=23,"Börnestr. 2",IF(C92=24,"Angerbenden 31",IF(C92=25,"Koppelskamp 10",IF(C92=26,"Koppelskamp 12",IF(C92=27,"Koppelskamp 14")))))))))))))))))))))))))))</f>
        <v>Kranzstr. 103</v>
      </c>
      <c r="E92" s="17" t="s">
        <v>194</v>
      </c>
      <c r="F92" s="17" t="s">
        <v>226</v>
      </c>
      <c r="G92" s="18" t="s">
        <v>753</v>
      </c>
      <c r="H92" s="17" t="s">
        <v>119</v>
      </c>
      <c r="I92" s="17" t="s">
        <v>200</v>
      </c>
      <c r="J92" s="22" t="s">
        <v>200</v>
      </c>
    </row>
    <row r="93" spans="1:10" ht="16" x14ac:dyDescent="0.2">
      <c r="A93" s="16">
        <v>46</v>
      </c>
      <c r="B93" s="34">
        <v>43101</v>
      </c>
      <c r="C93" s="105">
        <v>24</v>
      </c>
      <c r="D93" s="17" t="s">
        <v>59</v>
      </c>
      <c r="E93" s="17" t="s">
        <v>138</v>
      </c>
      <c r="F93" s="17" t="s">
        <v>159</v>
      </c>
      <c r="G93" s="18" t="s">
        <v>160</v>
      </c>
      <c r="H93" s="17" t="s">
        <v>13</v>
      </c>
      <c r="I93" s="17" t="s">
        <v>136</v>
      </c>
      <c r="J93" s="20" t="s">
        <v>136</v>
      </c>
    </row>
    <row r="94" spans="1:10" ht="16" x14ac:dyDescent="0.2">
      <c r="A94" s="16">
        <v>47</v>
      </c>
      <c r="B94" s="34">
        <v>43133</v>
      </c>
      <c r="C94" s="105">
        <v>8</v>
      </c>
      <c r="D94" s="17" t="s">
        <v>161</v>
      </c>
      <c r="E94" s="17" t="s">
        <v>162</v>
      </c>
      <c r="F94" s="17" t="s">
        <v>163</v>
      </c>
      <c r="G94" s="18" t="s">
        <v>61</v>
      </c>
      <c r="H94" s="17" t="s">
        <v>58</v>
      </c>
      <c r="I94" s="17" t="s">
        <v>14</v>
      </c>
      <c r="J94" s="20" t="s">
        <v>14</v>
      </c>
    </row>
    <row r="95" spans="1:10" ht="16" x14ac:dyDescent="0.2">
      <c r="A95" s="16">
        <v>47</v>
      </c>
      <c r="B95" s="34">
        <v>43496</v>
      </c>
      <c r="C95" s="105">
        <v>20</v>
      </c>
      <c r="D95" s="17" t="str">
        <f>IF(C95=1,"Roßstr. 9",IF(C95=2,"Pfalzstr. 17",IF(C95=3,"Schlossstr. 19",IF(C95=4,"Neanderstr. 15",IF(C95=5,"Luisenstr. 3",IF(C95=6,"Lindenstr. 267",IF(C95=7,"Engerstr. 3",IF(C95=8,"Schützenstr. 20",IF(C95=9,"Stockkampstr. 47",IF(C95=10,"Driburgerstr. 8",IF(C95=11,"Kölnerstr. 261",IF(C95=12,"Merowingerstr. 17",IF(C95=13,"Borsigstr. 7",IF(C95=14,"Gerresheimer Landstr. 152",IF(C95=15,"Hoppengarten 15",IF(C95=16,"Hoppengarten 17",IF(C95=17,"Könerstr. 215",IF(C95=18,"Kölnerstr. 217",IF(C95=19,"Alte Bachstr. 25",IF(C95=20,"Kranzstr. 103",IF(C95=21,"Broicherdorfstr. 3",IF(C95=22,"Grafenberger Allee 235",IF(C95=23,"Börnestr. 2",IF(C95=24,"Angerbenden 31",IF(C95=25,"Koppelskamp 10",IF(C95=26,"Koppelskamp 12",IF(C95=27,"Koppelskamp 14")))))))))))))))))))))))))))</f>
        <v>Kranzstr. 103</v>
      </c>
      <c r="E95" s="17" t="s">
        <v>194</v>
      </c>
      <c r="F95" s="17" t="s">
        <v>226</v>
      </c>
      <c r="G95" s="18" t="s">
        <v>754</v>
      </c>
      <c r="H95" s="17" t="s">
        <v>13</v>
      </c>
      <c r="I95" s="23" t="s">
        <v>19</v>
      </c>
      <c r="J95" s="23" t="s">
        <v>19</v>
      </c>
    </row>
    <row r="96" spans="1:10" ht="16" x14ac:dyDescent="0.2">
      <c r="A96" s="16">
        <v>48</v>
      </c>
      <c r="B96" s="34">
        <v>43136</v>
      </c>
      <c r="C96" s="105">
        <v>5</v>
      </c>
      <c r="D96" s="17" t="s">
        <v>164</v>
      </c>
      <c r="E96" s="17" t="s">
        <v>165</v>
      </c>
      <c r="F96" s="17"/>
      <c r="G96" s="18" t="s">
        <v>166</v>
      </c>
      <c r="H96" s="17" t="s">
        <v>23</v>
      </c>
      <c r="I96" s="57" t="s">
        <v>167</v>
      </c>
      <c r="J96" s="21" t="s">
        <v>167</v>
      </c>
    </row>
    <row r="97" spans="1:11" ht="16" x14ac:dyDescent="0.2">
      <c r="A97" s="16">
        <v>48</v>
      </c>
      <c r="B97" s="34">
        <v>43486</v>
      </c>
      <c r="C97" s="105">
        <v>5</v>
      </c>
      <c r="D97" s="17" t="str">
        <f>IF(C97=1,"Roßstr. 9",IF(C97=2,"Pfalzstr. 17",IF(C97=3,"Schlossstr. 19",IF(C97=4,"Neanderstr. 15",IF(C97=5,"Luisenstr. 3",IF(C97=6,"Lindenstr. 267",IF(C97=7,"Engerstr. 3",IF(C97=8,"Schützenstr. 20",IF(C97=9,"Stockkampstr. 47",IF(C97=10,"Driburgerstr. 8",IF(C97=11,"Kölnerstr. 261",IF(C97=12,"Merowingerstr. 17",IF(C97=13,"Borsigstr. 7",IF(C97=14,"Gerresheimer Landstr. 152",IF(C97=15,"Hoppengarten 15",IF(C97=16,"Hoppengarten 17",IF(C97=17,"Könerstr. 215",IF(C97=18,"Kölnerstr. 217",IF(C97=19,"Alte Bachstr. 25",IF(C97=20,"Kranzstr. 103",IF(C97=21,"Broicherdorfstr. 3",IF(C97=22,"Grafenberger Allee 235",IF(C97=23,"Börnestr. 2",IF(C97=24,"Angerbenden 31",IF(C97=25,"Koppelskamp 10",IF(C97=26,"Koppelskamp 12",IF(C97=27,"Koppelskamp 14")))))))))))))))))))))))))))</f>
        <v>Luisenstr. 3</v>
      </c>
      <c r="E97" s="17" t="s">
        <v>657</v>
      </c>
      <c r="F97" s="17"/>
      <c r="G97" s="18" t="s">
        <v>755</v>
      </c>
      <c r="H97" s="17" t="s">
        <v>119</v>
      </c>
      <c r="I97" s="17" t="s">
        <v>167</v>
      </c>
      <c r="J97" s="22" t="s">
        <v>167</v>
      </c>
    </row>
    <row r="98" spans="1:11" ht="16" x14ac:dyDescent="0.2">
      <c r="A98" s="16">
        <v>49</v>
      </c>
      <c r="B98" s="34">
        <v>43500</v>
      </c>
      <c r="C98" s="105">
        <v>20</v>
      </c>
      <c r="D98" s="17" t="str">
        <f>IF(C98=1,"Roßstr. 9",IF(C98=2,"Pfalzstr. 17",IF(C98=3,"Schlossstr. 19",IF(C98=4,"Neanderstr. 15",IF(C98=5,"Luisenstr. 3",IF(C98=6,"Lindenstr. 267",IF(C98=7,"Engerstr. 3",IF(C98=8,"Schützenstr. 20",IF(C98=9,"Stockkampstr. 47",IF(C98=10,"Driburgerstr. 8",IF(C98=11,"Kölnerstr. 261",IF(C98=12,"Merowingerstr. 17",IF(C98=13,"Borsigstr. 7",IF(C98=14,"Gerresheimer Landstr. 152",IF(C98=15,"Hoppengarten 15",IF(C98=16,"Hoppengarten 17",IF(C98=17,"Könerstr. 215",IF(C98=18,"Kölnerstr. 217",IF(C98=19,"Alte Bachstr. 25",IF(C98=20,"Kranzstr. 103",IF(C98=21,"Broicherdorfstr. 3",IF(C98=22,"Grafenberger Allee 235",IF(C98=23,"Börnestr. 2",IF(C98=24,"Angerbenden 31",IF(C98=25,"Koppelskamp 10",IF(C98=26,"Koppelskamp 12",IF(C98=27,"Koppelskamp 14")))))))))))))))))))))))))))</f>
        <v>Kranzstr. 103</v>
      </c>
      <c r="E98" s="17" t="s">
        <v>756</v>
      </c>
      <c r="F98" s="17" t="s">
        <v>757</v>
      </c>
      <c r="G98" s="18" t="s">
        <v>758</v>
      </c>
      <c r="H98" s="17" t="s">
        <v>23</v>
      </c>
      <c r="I98" s="23" t="s">
        <v>14</v>
      </c>
      <c r="J98" s="23" t="s">
        <v>14</v>
      </c>
    </row>
    <row r="99" spans="1:11" ht="16" x14ac:dyDescent="0.2">
      <c r="A99" s="16">
        <v>49</v>
      </c>
      <c r="B99" s="34">
        <v>43137</v>
      </c>
      <c r="C99" s="105">
        <v>4</v>
      </c>
      <c r="D99" s="17" t="s">
        <v>168</v>
      </c>
      <c r="E99" s="17" t="s">
        <v>27</v>
      </c>
      <c r="F99" s="17" t="s">
        <v>169</v>
      </c>
      <c r="G99" s="18" t="s">
        <v>170</v>
      </c>
      <c r="H99" s="17" t="s">
        <v>58</v>
      </c>
      <c r="I99" s="17" t="s">
        <v>93</v>
      </c>
      <c r="J99" s="17" t="s">
        <v>93</v>
      </c>
    </row>
    <row r="100" spans="1:11" ht="48" x14ac:dyDescent="0.2">
      <c r="A100" s="16">
        <v>50</v>
      </c>
      <c r="B100" s="34">
        <v>43138</v>
      </c>
      <c r="C100" s="105">
        <v>38</v>
      </c>
      <c r="D100" s="17" t="s">
        <v>171</v>
      </c>
      <c r="E100" s="17" t="s">
        <v>146</v>
      </c>
      <c r="F100" s="17" t="s">
        <v>17</v>
      </c>
      <c r="G100" s="18" t="s">
        <v>172</v>
      </c>
      <c r="H100" s="17" t="s">
        <v>58</v>
      </c>
      <c r="I100" s="17" t="s">
        <v>14</v>
      </c>
      <c r="J100" s="20" t="s">
        <v>14</v>
      </c>
    </row>
    <row r="101" spans="1:11" ht="16" x14ac:dyDescent="0.2">
      <c r="A101" s="16">
        <v>50</v>
      </c>
      <c r="B101" s="34">
        <v>43500</v>
      </c>
      <c r="C101" s="105">
        <v>45</v>
      </c>
      <c r="D101" s="17" t="s">
        <v>155</v>
      </c>
      <c r="E101" s="17" t="s">
        <v>245</v>
      </c>
      <c r="F101" s="17" t="s">
        <v>759</v>
      </c>
      <c r="G101" s="18" t="s">
        <v>760</v>
      </c>
      <c r="H101" s="17" t="s">
        <v>23</v>
      </c>
      <c r="I101" s="17" t="s">
        <v>543</v>
      </c>
      <c r="J101" s="22" t="s">
        <v>543</v>
      </c>
    </row>
    <row r="102" spans="1:11" ht="16" x14ac:dyDescent="0.2">
      <c r="A102" s="16">
        <v>51</v>
      </c>
      <c r="B102" s="34">
        <v>39485</v>
      </c>
      <c r="C102" s="105">
        <v>22</v>
      </c>
      <c r="D102" s="17" t="s">
        <v>173</v>
      </c>
      <c r="E102" s="17" t="s">
        <v>174</v>
      </c>
      <c r="F102" s="17" t="s">
        <v>175</v>
      </c>
      <c r="G102" s="18" t="s">
        <v>176</v>
      </c>
      <c r="H102" s="17" t="s">
        <v>58</v>
      </c>
      <c r="I102" s="17" t="s">
        <v>14</v>
      </c>
      <c r="J102" s="17" t="s">
        <v>14</v>
      </c>
    </row>
    <row r="103" spans="1:11" ht="16" x14ac:dyDescent="0.2">
      <c r="A103" s="16">
        <v>51</v>
      </c>
      <c r="B103" s="34">
        <v>43500</v>
      </c>
      <c r="C103" s="105">
        <v>46</v>
      </c>
      <c r="D103" s="17" t="s">
        <v>268</v>
      </c>
      <c r="E103" s="17" t="s">
        <v>146</v>
      </c>
      <c r="F103" s="17" t="s">
        <v>518</v>
      </c>
      <c r="G103" s="18" t="s">
        <v>761</v>
      </c>
      <c r="H103" s="17" t="s">
        <v>463</v>
      </c>
      <c r="I103" s="23" t="s">
        <v>14</v>
      </c>
      <c r="J103" s="21" t="s">
        <v>14</v>
      </c>
    </row>
    <row r="104" spans="1:11" ht="16" x14ac:dyDescent="0.2">
      <c r="A104" s="16">
        <v>52</v>
      </c>
      <c r="B104" s="35">
        <v>43500</v>
      </c>
      <c r="C104" s="105">
        <v>30</v>
      </c>
      <c r="D104" s="17" t="s">
        <v>762</v>
      </c>
      <c r="E104" s="17" t="s">
        <v>665</v>
      </c>
      <c r="F104" s="17" t="s">
        <v>763</v>
      </c>
      <c r="G104" s="18" t="s">
        <v>764</v>
      </c>
      <c r="H104" s="17" t="s">
        <v>58</v>
      </c>
      <c r="I104" s="17" t="s">
        <v>30</v>
      </c>
      <c r="J104" s="21" t="s">
        <v>30</v>
      </c>
    </row>
    <row r="105" spans="1:11" ht="32" x14ac:dyDescent="0.2">
      <c r="A105" s="16">
        <v>52</v>
      </c>
      <c r="B105" s="34">
        <v>43139</v>
      </c>
      <c r="C105" s="105">
        <v>35</v>
      </c>
      <c r="D105" s="17" t="s">
        <v>177</v>
      </c>
      <c r="E105" s="17" t="s">
        <v>178</v>
      </c>
      <c r="F105" s="17" t="s">
        <v>179</v>
      </c>
      <c r="G105" s="18" t="s">
        <v>180</v>
      </c>
      <c r="H105" s="17" t="s">
        <v>13</v>
      </c>
      <c r="I105" s="17" t="s">
        <v>181</v>
      </c>
      <c r="J105" s="20" t="s">
        <v>181</v>
      </c>
    </row>
    <row r="106" spans="1:11" ht="16" x14ac:dyDescent="0.2">
      <c r="A106" s="16">
        <v>53</v>
      </c>
      <c r="B106" s="34">
        <v>43139</v>
      </c>
      <c r="C106" s="105">
        <v>37</v>
      </c>
      <c r="D106" s="17" t="s">
        <v>182</v>
      </c>
      <c r="E106" s="17" t="s">
        <v>183</v>
      </c>
      <c r="F106" s="17" t="s">
        <v>184</v>
      </c>
      <c r="G106" s="18" t="s">
        <v>185</v>
      </c>
      <c r="H106" s="17" t="s">
        <v>62</v>
      </c>
      <c r="I106" s="17" t="s">
        <v>14</v>
      </c>
      <c r="J106" s="20" t="s">
        <v>14</v>
      </c>
    </row>
    <row r="107" spans="1:11" ht="16" x14ac:dyDescent="0.2">
      <c r="A107" s="16">
        <v>53</v>
      </c>
      <c r="B107" s="35">
        <v>43501</v>
      </c>
      <c r="C107" s="105">
        <v>17</v>
      </c>
      <c r="D107" s="17" t="str">
        <f>IF(C107=1,"Roßstr. 9",IF(C107=2,"Pfalzstr. 17",IF(C107=3,"Schlossstr. 19",IF(C107=4,"Neanderstr. 15",IF(C107=5,"Luisenstr. 3",IF(C107=6,"Lindenstr. 267",IF(C107=7,"Engerstr. 3",IF(C107=8,"Schützenstr. 20",IF(C107=9,"Stockkampstr. 47",IF(C107=10,"Driburgerstr. 8",IF(C107=11,"Kölnerstr. 261",IF(C107=12,"Merowingerstr. 17",IF(C107=13,"Borsigstr. 7",IF(C107=14,"Gerresheimer Landstr. 152",IF(C107=15,"Hoppengarten 15",IF(C107=16,"Hoppengarten 17",IF(C107=17,"Könerstr. 215",IF(C107=18,"Kölnerstr. 217",IF(C107=19,"Alte Bachstr. 25",IF(C107=20,"Kranzstr. 103",IF(C107=21,"Broicherdorfstr. 3",IF(C107=22,"Grafenberger Allee 235",IF(C107=23,"Börnestr. 2",IF(C107=24,"Angerbenden 31",IF(C107=25,"Koppelskamp 10",IF(C107=26,"Koppelskamp 12",IF(C107=27,"Koppelskamp 14")))))))))))))))))))))))))))</f>
        <v>Könerstr. 215</v>
      </c>
      <c r="E107" s="17" t="s">
        <v>630</v>
      </c>
      <c r="F107" s="17" t="s">
        <v>631</v>
      </c>
      <c r="G107" s="18" t="s">
        <v>765</v>
      </c>
      <c r="H107" s="17" t="s">
        <v>23</v>
      </c>
      <c r="I107" s="17" t="s">
        <v>181</v>
      </c>
      <c r="J107" s="17" t="s">
        <v>181</v>
      </c>
    </row>
    <row r="108" spans="1:11" ht="16" x14ac:dyDescent="0.2">
      <c r="A108" s="16">
        <v>54</v>
      </c>
      <c r="B108" s="34">
        <v>43139</v>
      </c>
      <c r="C108" s="105">
        <v>36</v>
      </c>
      <c r="D108" s="17" t="s">
        <v>186</v>
      </c>
      <c r="E108" s="17" t="s">
        <v>187</v>
      </c>
      <c r="F108" s="17"/>
      <c r="G108" s="18" t="s">
        <v>188</v>
      </c>
      <c r="H108" s="17" t="s">
        <v>62</v>
      </c>
      <c r="I108" s="17" t="s">
        <v>14</v>
      </c>
      <c r="J108" s="20" t="s">
        <v>119</v>
      </c>
    </row>
    <row r="109" spans="1:11" ht="16" x14ac:dyDescent="0.2">
      <c r="A109" s="16">
        <v>54</v>
      </c>
      <c r="B109" s="34">
        <v>43501</v>
      </c>
      <c r="C109" s="105">
        <v>7</v>
      </c>
      <c r="D109" s="17" t="str">
        <f>IF(C109=1,"Roßstr. 9",IF(C109=2,"Pfalzstr. 17",IF(C109=3,"Schlossstr. 19",IF(C109=4,"Neanderstr. 15",IF(C109=5,"Luisenstr. 3",IF(C109=6,"Lindenstr. 267",IF(C109=7,"Engerstr. 3",IF(C109=8,"Schützenstr. 20",IF(C109=9,"Stockkampstr. 47",IF(C109=10,"Driburgerstr. 8",IF(C109=11,"Kölnerstr. 261",IF(C109=12,"Merowingerstr. 17",IF(C109=13,"Borsigstr. 7",IF(C109=14,"Gerresheimer Landstr. 152",IF(C109=15,"Hoppengarten 15",IF(C109=16,"Hoppengarten 17",IF(C109=17,"Könerstr. 215",IF(C109=18,"Kölnerstr. 217",IF(C109=19,"Alte Bachstr. 25",IF(C109=20,"Kranzstr. 103",IF(C109=21,"Broicherdorfstr. 3",IF(C109=22,"Grafenberger Allee 235",IF(C109=23,"Börnestr. 2",IF(C109=24,"Angerbenden 31",IF(C109=25,"Koppelskamp 10",IF(C109=26,"Koppelskamp 12",IF(C109=27,"Koppelskamp 14")))))))))))))))))))))))))))</f>
        <v>Engerstr. 3</v>
      </c>
      <c r="E109" s="17" t="s">
        <v>766</v>
      </c>
      <c r="F109" s="17" t="s">
        <v>767</v>
      </c>
      <c r="G109" s="18" t="s">
        <v>768</v>
      </c>
      <c r="H109" s="17" t="s">
        <v>58</v>
      </c>
      <c r="I109" s="17" t="s">
        <v>181</v>
      </c>
      <c r="J109" s="17" t="s">
        <v>181</v>
      </c>
    </row>
    <row r="110" spans="1:11" ht="16" x14ac:dyDescent="0.2">
      <c r="A110" s="16">
        <v>55</v>
      </c>
      <c r="B110" s="34">
        <v>43507</v>
      </c>
      <c r="C110" s="105">
        <v>19</v>
      </c>
      <c r="D110" s="17" t="str">
        <f>IF(C110=1,"Roßstr. 9",IF(C110=2,"Pfalzstr. 17",IF(C110=3,"Schlossstr. 19",IF(C110=4,"Neanderstr. 15",IF(C110=5,"Luisenstr. 3",IF(C110=6,"Lindenstr. 267",IF(C110=7,"Engerstr. 3",IF(C110=8,"Schützenstr. 20",IF(C110=9,"Stockkampstr. 47",IF(C110=10,"Driburgerstr. 8",IF(C110=11,"Kölnerstr. 261",IF(C110=12,"Merowingerstr. 17",IF(C110=13,"Borsigstr. 7",IF(C110=14,"Gerresheimer Landstr. 152",IF(C110=15,"Hoppengarten 15",IF(C110=16,"Hoppengarten 17",IF(C110=17,"Könerstr. 215",IF(C110=18,"Kölnerstr. 217",IF(C110=19,"Alte Bachstr. 25",IF(C110=20,"Kranzstr. 103",IF(C110=21,"Broicherdorfstr. 3",IF(C110=22,"Grafenberger Allee 235",IF(C110=23,"Börnestr. 2",IF(C110=24,"Angerbenden 31",IF(C110=25,"Koppelskamp 10",IF(C110=26,"Koppelskamp 12",IF(C110=27,"Koppelskamp 14")))))))))))))))))))))))))))</f>
        <v>Alte Bachstr. 25</v>
      </c>
      <c r="E110" s="17" t="s">
        <v>264</v>
      </c>
      <c r="F110" s="17"/>
      <c r="G110" s="18" t="s">
        <v>769</v>
      </c>
      <c r="H110" s="17" t="s">
        <v>14</v>
      </c>
      <c r="I110" s="17" t="s">
        <v>200</v>
      </c>
      <c r="J110" s="17" t="s">
        <v>200</v>
      </c>
    </row>
    <row r="111" spans="1:11" ht="16" x14ac:dyDescent="0.2">
      <c r="A111" s="16">
        <v>55</v>
      </c>
      <c r="B111" s="34">
        <v>43144</v>
      </c>
      <c r="C111" s="105">
        <v>37</v>
      </c>
      <c r="D111" s="17" t="s">
        <v>182</v>
      </c>
      <c r="E111" s="17" t="s">
        <v>183</v>
      </c>
      <c r="F111" s="17" t="s">
        <v>184</v>
      </c>
      <c r="G111" s="18" t="s">
        <v>189</v>
      </c>
      <c r="H111" s="17" t="s">
        <v>13</v>
      </c>
      <c r="I111" s="17" t="s">
        <v>181</v>
      </c>
      <c r="J111" s="17" t="s">
        <v>181</v>
      </c>
      <c r="K111"/>
    </row>
    <row r="112" spans="1:11" ht="16" x14ac:dyDescent="0.2">
      <c r="A112" s="16">
        <v>56</v>
      </c>
      <c r="B112" s="34">
        <v>43144</v>
      </c>
      <c r="C112" s="105">
        <v>8</v>
      </c>
      <c r="D112" s="17" t="s">
        <v>161</v>
      </c>
      <c r="E112" s="17" t="s">
        <v>129</v>
      </c>
      <c r="F112" s="17" t="s">
        <v>190</v>
      </c>
      <c r="G112" s="18" t="s">
        <v>191</v>
      </c>
      <c r="H112" s="17" t="s">
        <v>58</v>
      </c>
      <c r="I112" s="17" t="s">
        <v>14</v>
      </c>
      <c r="J112" s="17" t="s">
        <v>14</v>
      </c>
    </row>
    <row r="113" spans="1:11" ht="16" x14ac:dyDescent="0.2">
      <c r="A113" s="16">
        <v>56</v>
      </c>
      <c r="B113" s="34">
        <v>43507</v>
      </c>
      <c r="C113" s="105">
        <v>25</v>
      </c>
      <c r="D113" s="17" t="str">
        <f>IF(C113=1,"Roßstr. 9",IF(C113=2,"Pfalzstr. 17",IF(C113=3,"Schlossstr. 19",IF(C113=4,"Neanderstr. 15",IF(C113=5,"Luisenstr. 3",IF(C113=6,"Lindenstr. 267",IF(C113=7,"Engerstr. 3",IF(C113=8,"Schützenstr. 20",IF(C113=9,"Stockkampstr. 47",IF(C113=10,"Driburgerstr. 8",IF(C113=11,"Kölnerstr. 261",IF(C113=12,"Merowingerstr. 17",IF(C113=13,"Borsigstr. 7",IF(C113=14,"Gerresheimer Landstr. 152",IF(C113=15,"Hoppengarten 15",IF(C113=16,"Hoppengarten 17",IF(C113=17,"Könerstr. 215",IF(C113=18,"Kölnerstr. 217",IF(C113=19,"Alte Bachstr. 25",IF(C113=20,"Kranzstr. 103",IF(C113=21,"Broicherdorfstr. 3",IF(C113=22,"Grafenberger Allee 235",IF(C113=23,"Börnestr. 2",IF(C113=24,"Angerbenden 31",IF(C113=25,"Koppelskamp 10",IF(C113=26,"Koppelskamp 12",IF(C113=27,"Koppelskamp 14",IF(C113=28,"Koppelskamp 8",IF(C113=29,"Bismarckstr. 109",IF(C113=30,"Memelstr. 43"))))))))))))))))))))))))))))))</f>
        <v>Koppelskamp 10</v>
      </c>
      <c r="E113" s="17" t="s">
        <v>351</v>
      </c>
      <c r="F113" s="17"/>
      <c r="G113" s="18" t="s">
        <v>770</v>
      </c>
      <c r="H113" s="17" t="s">
        <v>13</v>
      </c>
      <c r="I113" s="17" t="s">
        <v>76</v>
      </c>
      <c r="J113" s="38" t="s">
        <v>76</v>
      </c>
      <c r="K113" s="12"/>
    </row>
    <row r="114" spans="1:11" ht="16" x14ac:dyDescent="0.2">
      <c r="A114" s="16">
        <v>57</v>
      </c>
      <c r="B114" s="34">
        <v>43508</v>
      </c>
      <c r="C114" s="105">
        <v>17</v>
      </c>
      <c r="D114" s="17" t="str">
        <f>IF(C114=1,"Roßstr. 9",IF(C114=2,"Pfalzstr. 17",IF(C114=3,"Schlossstr. 19",IF(C114=4,"Neanderstr. 15",IF(C114=5,"Luisenstr. 3",IF(C114=6,"Lindenstr. 267",IF(C114=7,"Engerstr. 3",IF(C114=8,"Schützenstr. 20",IF(C114=9,"Stockkampstr. 47",IF(C114=10,"Driburgerstr. 8",IF(C114=11,"Kölnerstr. 261",IF(C114=12,"Merowingerstr. 17",IF(C114=13,"Borsigstr. 7",IF(C114=14,"Gerresheimer Landstr. 152",IF(C114=15,"Hoppengarten 15",IF(C114=16,"Hoppengarten 17",IF(C114=17,"Kölnerstr. 215",IF(C114=18,"Kölnerstr. 217",IF(C114=19,"Alte Bachstr. 25",IF(C114=20,"Kranzstr. 103",IF(C114=21,"Broicherdorfstr. 3",IF(C114=22,"Grafenberger Allee 235",IF(C114=23,"Börnestr. 2",IF(C114=24,"Angerbenden 31",IF(C114=25,"Koppelskamp 10",IF(C114=26,"Koppelskamp 12",IF(C114=27,"Koppelskamp 14",IF(C114=28,"Koppelskamp 8",IF(C114=29,"Bismarckstr. 109",IF(C114=30,"Memelstr. 43"))))))))))))))))))))))))))))))</f>
        <v>Kölnerstr. 215</v>
      </c>
      <c r="E114" s="17" t="s">
        <v>174</v>
      </c>
      <c r="F114" s="17" t="s">
        <v>771</v>
      </c>
      <c r="G114" s="18" t="s">
        <v>772</v>
      </c>
      <c r="H114" s="17" t="s">
        <v>23</v>
      </c>
      <c r="I114" s="17" t="s">
        <v>48</v>
      </c>
      <c r="J114" s="17" t="s">
        <v>48</v>
      </c>
    </row>
    <row r="115" spans="1:11" ht="16" x14ac:dyDescent="0.2">
      <c r="A115" s="16">
        <v>57</v>
      </c>
      <c r="B115" s="34">
        <v>43144</v>
      </c>
      <c r="C115" s="105">
        <v>10</v>
      </c>
      <c r="D115" s="17" t="s">
        <v>9</v>
      </c>
      <c r="E115" s="17" t="s">
        <v>60</v>
      </c>
      <c r="F115" s="17" t="s">
        <v>192</v>
      </c>
      <c r="G115" s="18" t="s">
        <v>193</v>
      </c>
      <c r="H115" s="17" t="s">
        <v>58</v>
      </c>
      <c r="I115" s="17" t="s">
        <v>119</v>
      </c>
      <c r="J115" s="17" t="s">
        <v>119</v>
      </c>
    </row>
    <row r="116" spans="1:11" ht="16" x14ac:dyDescent="0.2">
      <c r="A116" s="16">
        <v>58</v>
      </c>
      <c r="B116" s="34">
        <v>43501</v>
      </c>
      <c r="C116" s="105">
        <v>5</v>
      </c>
      <c r="D116" s="17" t="str">
        <f>IF(C116=1,"Roßstr. 9",IF(C116=2,"Pfalzstr. 17",IF(C116=3,"Schlossstr. 19",IF(C116=4,"Neanderstr. 15",IF(C116=5,"Luisenstr. 3",IF(C116=6,"Lindenstr. 267",IF(C116=7,"Engerstr. 3",IF(C116=8,"Schützenstr. 20",IF(C116=9,"Stockkampstr. 47",IF(C116=10,"Driburgerstr. 8",IF(C116=11,"Kölnerstr. 261",IF(C116=12,"Merowingerstr. 17",IF(C116=13,"Borsigstr. 7",IF(C116=14,"Gerresheimer Landstr. 152",IF(C116=15,"Hoppengarten 15",IF(C116=16,"Hoppengarten 17",IF(C116=17,"Könerstr. 215",IF(C116=18,"Kölnerstr. 217",IF(C116=19,"Alte Bachstr. 25",IF(C116=20,"Kranzstr. 103",IF(C116=21,"Broicherdorfstr. 3",IF(C116=22,"Grafenberger Allee 235",IF(C116=23,"Börnestr. 2",IF(C116=24,"Angerbenden 31",IF(C116=25,"Koppelskamp 10",IF(C116=26,"Koppelskamp 12",IF(C116=27,"Koppelskamp 14",IF(C116=28,"Koppelskamp 8",IF(C116=29,"Bismarckstr. 109",IF(C116=30,"Memelstr. 43"))))))))))))))))))))))))))))))</f>
        <v>Luisenstr. 3</v>
      </c>
      <c r="E116" s="17" t="s">
        <v>94</v>
      </c>
      <c r="F116" s="17" t="s">
        <v>484</v>
      </c>
      <c r="G116" s="18" t="s">
        <v>311</v>
      </c>
      <c r="H116" s="17" t="s">
        <v>119</v>
      </c>
      <c r="I116" s="22" t="s">
        <v>312</v>
      </c>
      <c r="J116" s="22" t="s">
        <v>312</v>
      </c>
    </row>
    <row r="117" spans="1:11" ht="16" x14ac:dyDescent="0.2">
      <c r="A117" s="16">
        <v>58</v>
      </c>
      <c r="B117" s="34">
        <v>43146</v>
      </c>
      <c r="C117" s="105">
        <v>8</v>
      </c>
      <c r="D117" s="17" t="s">
        <v>161</v>
      </c>
      <c r="E117" s="17" t="s">
        <v>194</v>
      </c>
      <c r="F117" s="17" t="s">
        <v>195</v>
      </c>
      <c r="G117" s="18" t="s">
        <v>196</v>
      </c>
      <c r="H117" s="17" t="s">
        <v>13</v>
      </c>
      <c r="I117" s="17" t="s">
        <v>181</v>
      </c>
      <c r="J117" s="17" t="s">
        <v>181</v>
      </c>
    </row>
    <row r="118" spans="1:11" ht="16" x14ac:dyDescent="0.2">
      <c r="A118" s="16">
        <v>59</v>
      </c>
      <c r="B118" s="34">
        <v>43491</v>
      </c>
      <c r="C118" s="105">
        <v>19</v>
      </c>
      <c r="D118" s="17" t="str">
        <f>IF(C118=1,"Roßstr. 9",IF(C118=2,"Pfalzstr. 17",IF(C118=3,"Schlossstr. 19",IF(C118=4,"Neanderstr. 15",IF(C118=5,"Luisenstr. 3",IF(C118=6,"Lindenstr. 267",IF(C118=7,"Engerstr. 3",IF(C118=8,"Schützenstr. 20",IF(C118=9,"Stockkampstr. 47",IF(C118=10,"Driburgerstr. 8",IF(C118=11,"Kölnerstr. 261",IF(C118=12,"Merowingerstr. 17",IF(C118=13,"Borsigstr. 7",IF(C118=14,"Gerresheimer Landstr. 152",IF(C118=15,"Hoppengarten 15",IF(C118=16,"Hoppengarten 17",IF(C118=17,"Könerstr. 215",IF(C118=18,"Kölnerstr. 217",IF(C118=19,"Alte Bachstr. 25",IF(C118=20,"Kranzstr. 103",IF(C118=21,"Broicherdorfstr. 3",IF(C118=22,"Grafenberger Allee 235",IF(C118=23,"Börnestr. 2",IF(C118=24,"Angerbenden 31",IF(C118=25,"Koppelskamp 10",IF(C118=26,"Koppelskamp 12",IF(C118=27,"Koppelskamp 14",IF(C118=28,"Koppelskamp 8",IF(C118=29,"Bismarckstr. 109",IF(C118=30,"Memelstr. 43"))))))))))))))))))))))))))))))</f>
        <v>Alte Bachstr. 25</v>
      </c>
      <c r="E118" s="65" t="s">
        <v>773</v>
      </c>
      <c r="F118" s="17" t="s">
        <v>774</v>
      </c>
      <c r="G118" s="18" t="s">
        <v>775</v>
      </c>
      <c r="H118" s="17" t="s">
        <v>119</v>
      </c>
      <c r="I118" s="57" t="s">
        <v>200</v>
      </c>
      <c r="J118" s="29" t="s">
        <v>200</v>
      </c>
    </row>
    <row r="119" spans="1:11" ht="16" x14ac:dyDescent="0.2">
      <c r="A119" s="16">
        <v>59</v>
      </c>
      <c r="B119" s="34">
        <v>43150</v>
      </c>
      <c r="C119" s="105">
        <v>20</v>
      </c>
      <c r="D119" s="17" t="s">
        <v>100</v>
      </c>
      <c r="E119" s="17" t="s">
        <v>197</v>
      </c>
      <c r="F119" s="17" t="s">
        <v>198</v>
      </c>
      <c r="G119" s="18" t="s">
        <v>199</v>
      </c>
      <c r="H119" s="17" t="s">
        <v>58</v>
      </c>
      <c r="I119" s="17" t="s">
        <v>200</v>
      </c>
      <c r="J119" s="17" t="s">
        <v>200</v>
      </c>
    </row>
    <row r="120" spans="1:11" ht="16" x14ac:dyDescent="0.2">
      <c r="A120" s="16">
        <v>60</v>
      </c>
      <c r="B120" s="34">
        <v>43153</v>
      </c>
      <c r="C120" s="105">
        <v>17</v>
      </c>
      <c r="D120" s="17" t="s">
        <v>201</v>
      </c>
      <c r="E120" s="17" t="s">
        <v>202</v>
      </c>
      <c r="F120" s="17" t="s">
        <v>203</v>
      </c>
      <c r="G120" s="18" t="s">
        <v>204</v>
      </c>
      <c r="H120" s="17" t="s">
        <v>13</v>
      </c>
      <c r="I120" s="17" t="s">
        <v>119</v>
      </c>
      <c r="J120" s="17" t="s">
        <v>119</v>
      </c>
    </row>
    <row r="121" spans="1:11" ht="16" x14ac:dyDescent="0.2">
      <c r="A121" s="16">
        <v>60</v>
      </c>
      <c r="B121" s="34">
        <v>43510</v>
      </c>
      <c r="C121" s="105">
        <v>9</v>
      </c>
      <c r="D121" s="17" t="str">
        <f>IF(C121=1,"Roßstr. 9",IF(C121=2,"Pfalzstr. 17",IF(C121=3,"Schlossstr. 19",IF(C121=4,"Neanderstr. 15",IF(C121=5,"Luisenstr. 3",IF(C121=6,"Lindenstr. 267",IF(C121=7,"Engerstr. 3",IF(C121=8,"Schützenstr. 20",IF(C121=9,"Stockkampstr. 47",IF(C121=10,"Driburgerstr. 8",IF(C121=11,"Kölnerstr. 261",IF(C121=12,"Merowingerstr. 17",IF(C121=13,"Borsigstr. 7",IF(C121=14,"Gerresheimer Landstr. 152",IF(C121=15,"Hoppengarten 15",IF(C121=16,"Hoppengarten 17",IF(C121=17,"Könerstr. 215",IF(C121=18,"Kölnerstr. 217",IF(C121=19,"Alte Bachstr. 25",IF(C121=20,"Kranzstr. 103",IF(C121=21,"Broicherdorfstr. 3",IF(C121=22,"Grafenberger Allee 235",IF(C121=23,"Börnestr. 2",IF(C121=24,"Angerbenden 31",IF(C121=25,"Koppelskamp 10",IF(C121=26,"Koppelskamp 12",IF(C121=27,"Koppelskamp 14",IF(C121=28,"Koppelskamp 8",IF(C121=29,"Bismarckstr. 109",IF(C121=30,"Memelstr. 43"))))))))))))))))))))))))))))))</f>
        <v>Stockkampstr. 47</v>
      </c>
      <c r="E121" s="17" t="s">
        <v>10</v>
      </c>
      <c r="F121" s="17" t="s">
        <v>776</v>
      </c>
      <c r="G121" s="18" t="s">
        <v>777</v>
      </c>
      <c r="H121" s="17" t="s">
        <v>13</v>
      </c>
      <c r="I121" s="23" t="s">
        <v>181</v>
      </c>
      <c r="J121" s="20" t="s">
        <v>181</v>
      </c>
    </row>
    <row r="122" spans="1:11" ht="16" x14ac:dyDescent="0.2">
      <c r="A122" s="16">
        <v>61</v>
      </c>
      <c r="B122" s="34">
        <v>43510</v>
      </c>
      <c r="C122" s="105">
        <v>48</v>
      </c>
      <c r="D122" s="17" t="s">
        <v>778</v>
      </c>
      <c r="E122" s="17" t="s">
        <v>78</v>
      </c>
      <c r="F122" s="17"/>
      <c r="G122" s="18" t="s">
        <v>779</v>
      </c>
      <c r="H122" s="17" t="s">
        <v>58</v>
      </c>
      <c r="I122" s="17" t="s">
        <v>14</v>
      </c>
      <c r="J122" s="21" t="s">
        <v>14</v>
      </c>
    </row>
    <row r="123" spans="1:11" ht="16" x14ac:dyDescent="0.2">
      <c r="A123" s="16">
        <v>61</v>
      </c>
      <c r="B123" s="34">
        <v>43153</v>
      </c>
      <c r="C123" s="105">
        <v>33</v>
      </c>
      <c r="D123" s="17" t="s">
        <v>85</v>
      </c>
      <c r="E123" s="17" t="s">
        <v>121</v>
      </c>
      <c r="F123" s="17" t="s">
        <v>205</v>
      </c>
      <c r="G123" s="18" t="s">
        <v>206</v>
      </c>
      <c r="H123" s="17" t="s">
        <v>13</v>
      </c>
      <c r="I123" s="17" t="s">
        <v>119</v>
      </c>
      <c r="J123" s="17" t="s">
        <v>119</v>
      </c>
    </row>
    <row r="124" spans="1:11" ht="32" x14ac:dyDescent="0.2">
      <c r="A124" s="16">
        <v>62</v>
      </c>
      <c r="B124" s="34">
        <v>43157</v>
      </c>
      <c r="C124" s="105">
        <v>18</v>
      </c>
      <c r="D124" s="17" t="s">
        <v>207</v>
      </c>
      <c r="E124" s="17" t="s">
        <v>208</v>
      </c>
      <c r="F124" s="17" t="s">
        <v>209</v>
      </c>
      <c r="G124" s="18" t="s">
        <v>210</v>
      </c>
      <c r="H124" s="17" t="s">
        <v>23</v>
      </c>
      <c r="I124" s="17" t="s">
        <v>14</v>
      </c>
      <c r="J124" s="17" t="s">
        <v>14</v>
      </c>
    </row>
    <row r="125" spans="1:11" ht="16" x14ac:dyDescent="0.2">
      <c r="A125" s="16">
        <v>62</v>
      </c>
      <c r="B125" s="34">
        <v>43510</v>
      </c>
      <c r="C125" s="105">
        <v>8</v>
      </c>
      <c r="D125" s="17" t="str">
        <f>IF(C125=1,"Roßstr. 9",IF(C125=2,"Pfalzstr. 17",IF(C125=3,"Schlossstr. 19",IF(C125=4,"Neanderstr. 15",IF(C125=5,"Luisenstr. 3",IF(C125=6,"Lindenstr. 267",IF(C125=7,"Engerstr. 3",IF(C125=8,"Schützenstr. 20",IF(C125=9,"Stockkampstr. 47",IF(C125=10,"Driburgerstr. 8",IF(C125=11,"Kölnerstr. 261",IF(C125=12,"Merowingerstr. 17",IF(C125=13,"Borsigstr. 7",IF(C125=14,"Gerresheimer Landstr. 152",IF(C125=15,"Hoppengarten 15",IF(C125=16,"Hoppengarten 17",IF(C125=17,"Könerstr. 215",IF(C125=18,"Kölnerstr. 217",IF(C125=19,"Alte Bachstr. 25",IF(C125=20,"Kranzstr. 103",IF(C125=21,"Broicherdorfstr. 3",IF(C125=22,"Grafenberger Allee 235",IF(C125=23,"Börnestr. 2",IF(C125=24,"Angerbenden 31",IF(C125=25,"Koppelskamp 10",IF(C125=26,"Koppelskamp 12",IF(C125=27,"Koppelskamp 14",IF(C125=28,"Koppelskamp 8",IF(C125=29,"Bismarckstr. 109",IF(C125=30,"Memelstr. 43"))))))))))))))))))))))))))))))</f>
        <v>Schützenstr. 20</v>
      </c>
      <c r="E125" s="17" t="s">
        <v>780</v>
      </c>
      <c r="F125" s="17" t="s">
        <v>618</v>
      </c>
      <c r="G125" s="18" t="s">
        <v>772</v>
      </c>
      <c r="H125" s="17" t="s">
        <v>58</v>
      </c>
      <c r="I125" s="17" t="s">
        <v>48</v>
      </c>
      <c r="J125" s="20" t="s">
        <v>48</v>
      </c>
    </row>
    <row r="126" spans="1:11" ht="16" x14ac:dyDescent="0.2">
      <c r="A126" s="16">
        <v>63</v>
      </c>
      <c r="B126" s="34">
        <v>43510</v>
      </c>
      <c r="C126" s="105">
        <v>14</v>
      </c>
      <c r="D126" s="17" t="str">
        <f>IF(C126=1,"Roßstr. 9",IF(C126=2,"Pfalzstr. 17",IF(C126=3,"Schlossstr. 19",IF(C126=4,"Neanderstr. 15",IF(C126=5,"Luisenstr. 3",IF(C126=6,"Lindenstr. 267",IF(C126=7,"Engerstr. 3",IF(C126=8,"Schützenstr. 20",IF(C126=9,"Stockkampstr. 47",IF(C126=10,"Driburgerstr. 8",IF(C126=11,"Kölnerstr. 261",IF(C126=12,"Merowingerstr. 17",IF(C126=13,"Borsigstr. 7",IF(C126=14,"Gerresheimer Landstr. 152",IF(C126=15,"Hoppengarten 15",IF(C126=16,"Hoppengarten 17",IF(C126=17,"Könerstr. 215",IF(C126=18,"Kölnerstr. 217",IF(C126=19,"Alte Bachstr. 25",IF(C126=20,"Kranzstr. 103",IF(C126=21,"Broicherdorfstr. 3",IF(C126=22,"Grafenberger Allee 235",IF(C126=23,"Börnestr. 2",IF(C126=24,"Angerbenden 31",IF(C126=25,"Koppelskamp 10",IF(C126=26,"Koppelskamp 12",IF(C126=27,"Koppelskamp 14",IF(C126=28,"Koppelskamp 8",IF(C126=29,"Bismarckstr. 109",IF(C126=30,"Memelstr. 43"))))))))))))))))))))))))))))))</f>
        <v>Gerresheimer Landstr. 152</v>
      </c>
      <c r="E126" s="17" t="s">
        <v>146</v>
      </c>
      <c r="F126" s="17" t="s">
        <v>781</v>
      </c>
      <c r="G126" s="18" t="s">
        <v>782</v>
      </c>
      <c r="H126" s="17" t="s">
        <v>13</v>
      </c>
      <c r="I126" s="17" t="s">
        <v>14</v>
      </c>
      <c r="J126" s="17" t="s">
        <v>14</v>
      </c>
    </row>
    <row r="127" spans="1:11" ht="32" x14ac:dyDescent="0.2">
      <c r="A127" s="16">
        <v>63</v>
      </c>
      <c r="B127" s="34">
        <v>43157</v>
      </c>
      <c r="C127" s="105">
        <v>21</v>
      </c>
      <c r="D127" s="17" t="s">
        <v>31</v>
      </c>
      <c r="E127" s="17" t="s">
        <v>146</v>
      </c>
      <c r="F127" s="17" t="s">
        <v>211</v>
      </c>
      <c r="G127" s="18" t="s">
        <v>212</v>
      </c>
      <c r="H127" s="17" t="s">
        <v>23</v>
      </c>
      <c r="I127" s="17" t="s">
        <v>14</v>
      </c>
      <c r="J127" s="17" t="s">
        <v>14</v>
      </c>
    </row>
    <row r="128" spans="1:11" ht="16" x14ac:dyDescent="0.2">
      <c r="A128" s="16">
        <v>64</v>
      </c>
      <c r="B128" s="34">
        <v>43157</v>
      </c>
      <c r="C128" s="105">
        <v>34</v>
      </c>
      <c r="D128" s="17" t="s">
        <v>213</v>
      </c>
      <c r="E128" s="17" t="s">
        <v>60</v>
      </c>
      <c r="F128" s="17" t="s">
        <v>214</v>
      </c>
      <c r="G128" s="18" t="s">
        <v>215</v>
      </c>
      <c r="H128" s="17" t="s">
        <v>62</v>
      </c>
      <c r="I128" s="17" t="s">
        <v>14</v>
      </c>
      <c r="J128" s="57" t="s">
        <v>14</v>
      </c>
    </row>
    <row r="129" spans="1:11" ht="16" x14ac:dyDescent="0.2">
      <c r="A129" s="16">
        <v>64</v>
      </c>
      <c r="B129" s="34">
        <v>43511</v>
      </c>
      <c r="C129" s="105">
        <v>2</v>
      </c>
      <c r="D129" s="17" t="str">
        <f>IF(C129=1,"Roßstr. 9",IF(C129=2,"Pfalzstr. 17",IF(C129=3,"Schlossstr. 19",IF(C129=4,"Neanderstr. 15",IF(C129=5,"Luisenstr. 3",IF(C129=6,"Lindenstr. 267",IF(C129=7,"Engerstr. 3",IF(C129=8,"Schützenstr. 20",IF(C129=9,"Stockkampstr. 47",IF(C129=10,"Driburgerstr. 8",IF(C129=11,"Kölnerstr. 261",IF(C129=12,"Merowingerstr. 17",IF(C129=13,"Borsigstr. 7",IF(C129=14,"Gerresheimer Landstr. 152",IF(C129=15,"Hoppengarten 15",IF(C129=16,"Hoppengarten 17",IF(C129=17,"Könerstr. 215",IF(C129=18,"Kölnerstr. 217",IF(C129=19,"Alte Bachstr. 25",IF(C129=20,"Kranzstr. 103",IF(C129=21,"Broicherdorfstr. 3",IF(C129=22,"Grafenberger Allee 235",IF(C129=23,"Börnestr. 2",IF(C129=24,"Angerbenden 31",IF(C129=25,"Koppelskamp 10",IF(C129=26,"Koppelskamp 12",IF(C129=27,"Koppelskamp 14",IF(C129=28,"Koppelskamp 8",IF(C129=29,"Bismarckstr. 109",IF(C129=30,"Memelstr. 43"))))))))))))))))))))))))))))))</f>
        <v>Pfalzstr. 17</v>
      </c>
      <c r="E129" s="17" t="s">
        <v>10</v>
      </c>
      <c r="F129" s="17" t="s">
        <v>783</v>
      </c>
      <c r="G129" s="18" t="s">
        <v>784</v>
      </c>
      <c r="H129" s="17" t="s">
        <v>13</v>
      </c>
      <c r="I129" s="38" t="s">
        <v>706</v>
      </c>
      <c r="J129" s="38" t="s">
        <v>706</v>
      </c>
      <c r="K129" s="26"/>
    </row>
    <row r="130" spans="1:11" ht="32" x14ac:dyDescent="0.2">
      <c r="A130" s="16">
        <v>65</v>
      </c>
      <c r="B130" s="34">
        <v>43158</v>
      </c>
      <c r="C130" s="105">
        <v>32</v>
      </c>
      <c r="D130" s="17" t="s">
        <v>39</v>
      </c>
      <c r="E130" s="17" t="s">
        <v>121</v>
      </c>
      <c r="F130" s="17" t="s">
        <v>147</v>
      </c>
      <c r="G130" s="18" t="s">
        <v>216</v>
      </c>
      <c r="H130" s="17" t="s">
        <v>13</v>
      </c>
      <c r="I130" s="17" t="s">
        <v>14</v>
      </c>
      <c r="J130" s="20" t="s">
        <v>14</v>
      </c>
    </row>
    <row r="131" spans="1:11" x14ac:dyDescent="0.2">
      <c r="A131" s="16">
        <v>65</v>
      </c>
      <c r="B131" s="34">
        <v>43481</v>
      </c>
      <c r="C131" s="105">
        <v>16</v>
      </c>
      <c r="D131" s="17" t="str">
        <f>IF(C131=1,"Roßstr. 9",IF(C131=2,"Pfalzstr. 17",IF(C131=3,"Schlossstr. 19",IF(C131=4,"Neanderstr. 15",IF(C131=5,"Luisenstr. 3",IF(C131=6,"Lindenstr. 267",IF(C131=7,"Engerstr. 3",IF(C131=8,"Schützenstr. 20",IF(C131=9,"Stockkampstr. 47",IF(C131=10,"Driburgerstr. 8",IF(C131=11,"Kölnerstr. 261",IF(C131=12,"Merowingerstr. 17",IF(C131=13,"Borsigstr. 7",IF(C131=14,"Gerresheimer Landstr. 152",IF(C131=15,"Hoppengarten 15",IF(C131=16,"Hoppengarten 17",IF(C131=17,"Könerstr. 215",IF(C131=18,"Kölnerstr. 217",IF(C131=19,"Alte Bachstr. 25",IF(C131=20,"Kranzstr. 103",IF(C131=21,"Broicherdorfstr. 3",IF(C131=22,"Grafenberger Allee 235",IF(C131=23,"Börnestr. 2",IF(C131=24,"Angerbenden 31",IF(C131=25,"Koppelskamp 10",IF(C131=26,"Koppelskamp 12",IF(C131=27,"Koppelskamp 14",IF(C131=28,"Koppelskamp 8",IF(C131=29,"Bismarckstr. 109",IF(C131=30,"Memelstr. 43"))))))))))))))))))))))))))))))</f>
        <v>Hoppengarten 17</v>
      </c>
      <c r="E131" s="17" t="s">
        <v>138</v>
      </c>
      <c r="F131" s="107" t="s">
        <v>139</v>
      </c>
      <c r="G131" s="39" t="s">
        <v>785</v>
      </c>
      <c r="H131" s="17" t="s">
        <v>119</v>
      </c>
      <c r="I131" s="17" t="s">
        <v>181</v>
      </c>
      <c r="J131" s="17" t="s">
        <v>181</v>
      </c>
    </row>
    <row r="132" spans="1:11" ht="16" x14ac:dyDescent="0.2">
      <c r="A132" s="16">
        <v>66</v>
      </c>
      <c r="B132" s="34">
        <v>43515</v>
      </c>
      <c r="C132" s="105">
        <v>39</v>
      </c>
      <c r="D132" s="17" t="str">
        <f>IF(C132=1,"Roßstr. 9",IF(C132=2,"Pfalzstr. 17",IF(C132=3,"Schlossstr. 19",IF(C132=4,"Neanderstr. 15",IF(C132=5,"Luisenstr. 3",IF(C132=6,"Lindenstr. 267",IF(C132=7,"Engerstr. 3",IF(C132=8,"Schützenstr. 20",IF(C132=9,"Stockkampstr. 47",IF(C132=10,"Driburgerstr. 8",IF(C132=11,"Kölnerstr. 261",IF(C132=12,"Merowingerstr. 17",IF(C132=13,"Borsigstr. 7",IF(C132=14,"Gerresheimer Landstr. 152",IF(C132=15,"Hoppengarten 15",IF(C132=16,"Hoppengarten 17",IF(C132=17,"Könerstr. 215",IF(C132=18,"Kölnerstr. 217",IF(C132=19,"Alte Bachstr. 25",IF(C132=20,"Kranzstr. 103",IF(C132=21,"Broicherdorfstr. 3",IF(C132=22,"Grafenberger Allee 235",IF(C132=23,"Börnestr. 2",IF(C132=24,"Angerbenden 31",IF(C132=25,"Koppelskamp 10",IF(C132=26,"Koppelskamp 12",IF(C132=27,"Koppelskamp 14",IF(C132=28,"Koppelskamp 8",IF(C132=29,"Bismarckstr. 109",IF(C132=30,"Memelstr. 43",IF(C132=31,"Angermunderstr. 30",IF(C132=32,"Koppelskamp 5",IF(C132=33,"Koppelskamp 5a",IF(C132=34,"Koppelskamp 7",IF(C132=35,"Lintorfer Waldstr. 6",IF(C132=36,"Lintorfer Waldstr. 8",IF(C132=37,"Lintorfer Waldstr. 10",IF(C132=38,"Koloniestr. 205",IF(C132=39,"Metzerstr. 28",IF(C132=40,"Metzerstr. 28a",IF(C132=41,"Spichernstr. 27",IF(C132=42,"Metzerstr. 17",IF(C132=43,"Neumühlerstr. 35",IF(C132=44,"Neumühlerstr. 37",IF(C132=45,"Neumühlerstr. 39",IF(C132=46,"Neumühlerstr. 41",IF(C132=47,"Mündelheimerstr. 3-5",IF(C132=48,"Mendelsohnstr. 3"))))))))))))))))))))))))))))))))))))))))))))))))</f>
        <v>Metzerstr. 28</v>
      </c>
      <c r="E132" s="17" t="s">
        <v>693</v>
      </c>
      <c r="F132" s="17" t="s">
        <v>968</v>
      </c>
      <c r="G132" s="18" t="s">
        <v>969</v>
      </c>
      <c r="H132" s="17" t="s">
        <v>916</v>
      </c>
      <c r="I132" s="17" t="s">
        <v>543</v>
      </c>
      <c r="J132" s="17" t="s">
        <v>543</v>
      </c>
    </row>
    <row r="133" spans="1:11" ht="16" x14ac:dyDescent="0.2">
      <c r="A133" s="16">
        <v>66</v>
      </c>
      <c r="B133" s="34">
        <v>43158</v>
      </c>
      <c r="C133" s="105">
        <v>13</v>
      </c>
      <c r="D133" s="17" t="s">
        <v>217</v>
      </c>
      <c r="E133" s="17" t="s">
        <v>218</v>
      </c>
      <c r="F133" s="17" t="s">
        <v>219</v>
      </c>
      <c r="G133" s="18" t="s">
        <v>220</v>
      </c>
      <c r="H133" s="17" t="s">
        <v>13</v>
      </c>
      <c r="I133" s="17" t="s">
        <v>181</v>
      </c>
      <c r="J133" s="17" t="s">
        <v>181</v>
      </c>
    </row>
    <row r="134" spans="1:11" ht="16" x14ac:dyDescent="0.2">
      <c r="A134" s="16">
        <v>67</v>
      </c>
      <c r="B134" s="34">
        <v>43515</v>
      </c>
      <c r="C134" s="105">
        <v>38</v>
      </c>
      <c r="D134" s="17" t="str">
        <f>IF(C134=1,"Roßstr. 9",IF(C134=2,"Pfalzstr. 17",IF(C134=3,"Schlossstr. 19",IF(C134=4,"Neanderstr. 15",IF(C134=5,"Luisenstr. 3",IF(C134=6,"Lindenstr. 267",IF(C134=7,"Engerstr. 3",IF(C134=8,"Schützenstr. 20",IF(C134=9,"Stockkampstr. 47",IF(C134=10,"Driburgerstr. 8",IF(C134=11,"Kölnerstr. 261",IF(C134=12,"Merowingerstr. 17",IF(C134=13,"Borsigstr. 7",IF(C134=14,"Gerresheimer Landstr. 152",IF(C134=15,"Hoppengarten 15",IF(C134=16,"Hoppengarten 17",IF(C134=17,"Könerstr. 215",IF(C134=18,"Kölnerstr. 217",IF(C134=19,"Alte Bachstr. 25",IF(C134=20,"Kranzstr. 103",IF(C134=21,"Broicherdorfstr. 3",IF(C134=22,"Grafenberger Allee 235",IF(C134=23,"Börnestr. 2",IF(C134=24,"Angerbenden 31",IF(C134=25,"Koppelskamp 10",IF(C134=26,"Koppelskamp 12",IF(C134=27,"Koppelskamp 14",IF(C134=28,"Koppelskamp 8",IF(C134=29,"Bismarckstr. 109",IF(C134=30,"Memelstr. 43",IF(C134=31,"Angermunderstr. 30",IF(C134=32,"Koppelskamp 5",IF(C134=33,"Koppelskamp 5a",IF(C134=34,"Koppelskamp 7",IF(C134=35,"Lintorfer Waldstr. 6",IF(C134=36,"Lintorfer Waldstr. 8",IF(C134=37,"Lintorfer Waldstr. 10",IF(C134=38,"Koloniestr. 205",IF(C134=39,"Metzerstr. 28",IF(C134=40,"Metzerstr. 28a",IF(C134=41,"Spichernstr. 27",IF(C134=42,"Metzerstr. 17",IF(C134=43,"Neumühlerstr. 35",IF(C134=44,"Neumühlerstr. 37",IF(C134=45,"Neumühlerstr. 39",IF(C134=46,"Neumühlerstr. 41",IF(C134=47,"Mündelheimerstr. 3-5",IF(C134=48,"Mendelsohnstr. 3"))))))))))))))))))))))))))))))))))))))))))))))))</f>
        <v>Koloniestr. 205</v>
      </c>
      <c r="E134" s="17" t="s">
        <v>665</v>
      </c>
      <c r="F134" s="17" t="s">
        <v>970</v>
      </c>
      <c r="G134" s="18" t="s">
        <v>971</v>
      </c>
      <c r="H134" s="17" t="s">
        <v>13</v>
      </c>
      <c r="I134" s="38" t="s">
        <v>30</v>
      </c>
      <c r="J134" s="38" t="s">
        <v>30</v>
      </c>
    </row>
    <row r="135" spans="1:11" ht="32" x14ac:dyDescent="0.2">
      <c r="A135" s="16">
        <v>67</v>
      </c>
      <c r="B135" s="34">
        <v>43160</v>
      </c>
      <c r="C135" s="105">
        <v>25</v>
      </c>
      <c r="D135" s="17" t="s">
        <v>128</v>
      </c>
      <c r="E135" s="17" t="s">
        <v>129</v>
      </c>
      <c r="F135" s="17" t="s">
        <v>221</v>
      </c>
      <c r="G135" s="18" t="s">
        <v>222</v>
      </c>
      <c r="H135" s="17" t="s">
        <v>13</v>
      </c>
      <c r="I135" s="17" t="s">
        <v>119</v>
      </c>
      <c r="J135" s="123" t="s">
        <v>119</v>
      </c>
      <c r="K135" s="66"/>
    </row>
    <row r="136" spans="1:11" x14ac:dyDescent="0.2">
      <c r="A136" s="16">
        <v>68</v>
      </c>
      <c r="B136" s="34">
        <v>43161</v>
      </c>
      <c r="C136" s="105">
        <v>4</v>
      </c>
      <c r="D136" s="17" t="s">
        <v>168</v>
      </c>
      <c r="E136" s="17" t="s">
        <v>121</v>
      </c>
      <c r="F136" s="17" t="s">
        <v>223</v>
      </c>
      <c r="G136" s="118" t="s">
        <v>224</v>
      </c>
      <c r="H136" s="17" t="s">
        <v>62</v>
      </c>
      <c r="I136" s="17" t="s">
        <v>14</v>
      </c>
      <c r="J136" s="17" t="s">
        <v>14</v>
      </c>
      <c r="K136" s="26"/>
    </row>
    <row r="137" spans="1:11" ht="16" x14ac:dyDescent="0.2">
      <c r="A137" s="16">
        <v>68</v>
      </c>
      <c r="B137" s="34">
        <v>43517</v>
      </c>
      <c r="C137" s="105">
        <v>37</v>
      </c>
      <c r="D137" s="17" t="s">
        <v>972</v>
      </c>
      <c r="E137" s="17" t="s">
        <v>379</v>
      </c>
      <c r="F137" s="17" t="s">
        <v>184</v>
      </c>
      <c r="G137" s="18" t="s">
        <v>973</v>
      </c>
      <c r="H137" s="17" t="s">
        <v>58</v>
      </c>
      <c r="I137" s="17" t="s">
        <v>427</v>
      </c>
      <c r="J137" s="21" t="s">
        <v>14</v>
      </c>
    </row>
    <row r="138" spans="1:11" ht="32" x14ac:dyDescent="0.2">
      <c r="A138" s="16">
        <v>69</v>
      </c>
      <c r="B138" s="34">
        <v>43164</v>
      </c>
      <c r="C138" s="105">
        <v>20</v>
      </c>
      <c r="D138" s="17" t="s">
        <v>100</v>
      </c>
      <c r="E138" s="17" t="s">
        <v>225</v>
      </c>
      <c r="F138" s="17" t="s">
        <v>226</v>
      </c>
      <c r="G138" s="18" t="s">
        <v>227</v>
      </c>
      <c r="H138" s="17" t="s">
        <v>23</v>
      </c>
      <c r="I138" s="17" t="s">
        <v>14</v>
      </c>
      <c r="J138" s="17" t="s">
        <v>14</v>
      </c>
    </row>
    <row r="139" spans="1:11" ht="16" x14ac:dyDescent="0.2">
      <c r="A139" s="16">
        <v>69</v>
      </c>
      <c r="B139" s="34">
        <v>43518</v>
      </c>
      <c r="C139" s="105">
        <v>15</v>
      </c>
      <c r="D139" s="17" t="s">
        <v>974</v>
      </c>
      <c r="E139" s="17" t="s">
        <v>538</v>
      </c>
      <c r="F139" s="17"/>
      <c r="G139" s="18" t="s">
        <v>975</v>
      </c>
      <c r="H139" s="17" t="s">
        <v>58</v>
      </c>
      <c r="I139" s="17" t="s">
        <v>927</v>
      </c>
      <c r="J139" s="21" t="s">
        <v>967</v>
      </c>
    </row>
    <row r="140" spans="1:11" ht="16" x14ac:dyDescent="0.2">
      <c r="A140" s="16">
        <v>70</v>
      </c>
      <c r="B140" s="34">
        <v>43522</v>
      </c>
      <c r="C140" s="105">
        <v>22</v>
      </c>
      <c r="D140" s="17" t="str">
        <f>IF(C140=1,"Roßstr. 9",IF(C140=2,"Pfalzstr. 17",IF(C140=3,"Schlossstr. 19",IF(C140=4,"Neanderstr. 15",IF(C140=5,"Luisenstr. 3",IF(C140=6,"Lindenstr. 267",IF(C140=7,"Engerstr. 3",IF(C140=8,"Schützenstr. 20",IF(C140=9,"Stockkampstr. 47",IF(C140=10,"Driburgerstr. 8",IF(C140=11,"Kölnerstr. 261",IF(C140=12,"Merowingerstr. 17",IF(C140=13,"Borsigstr. 7",IF(C140=14,"Gerresheimer Landstr. 152",IF(C140=15,"Hoppengarten 15",IF(C140=16,"Hoppengarten 17",IF(C140=17,"Könerstr. 215",IF(C140=18,"Kölnerstr. 217",IF(C140=19,"Alte Bachstr. 25",IF(C140=20,"Kranzstr. 103",IF(C140=21,"Broicherdorfstr. 3",IF(C140=22,"Grafenberger Allee 235",IF(C140=23,"Börnestr. 2",IF(C140=24,"Angerbenden 31",IF(C140=25,"Koppelskamp 10",IF(C140=26,"Koppelskamp 12",IF(C140=27,"Koppelskamp 14",IF(C140=28,"Koppelskamp 8",IF(C140=29,"Bismarckstr. 109",IF(C140=30,"Memelstr. 43",IF(C140=31,"Angermunderstr. 30",IF(C140=32,"Koppelskamp 5",IF(C140=33,"Koppelskamp 5a",IF(C140=34,"Koppelskamp 7",IF(C140=35,"Lintorfer Waldstr. 6",IF(C140=36,"Lintorfer Waldstr. 8",IF(C140=37,"Lintorfer Waldstr. 10",IF(C140=38,"Koloniestr. 205",IF(C140=39,"Metzerstr. 28",IF(C140=40,"Metzerstr. 28a",IF(C140=41,"Spichernstr. 27",IF(C140=42,"Metzerstr. 17",IF(C140=43,"Neumühlerstr. 35",IF(C140=44,"Neumühlerstr. 37",IF(C140=45,"Neumühlerstr. 39",IF(C140=46,"Neumühlerstr. 41",IF(C140=47,"Mündelheimerstr. 3-5",IF(C140=48,"Mendelsohnstr. 3"))))))))))))))))))))))))))))))))))))))))))))))))</f>
        <v>Grafenberger Allee 235</v>
      </c>
      <c r="E140" s="17" t="s">
        <v>637</v>
      </c>
      <c r="F140" s="17" t="s">
        <v>976</v>
      </c>
      <c r="G140" s="18" t="s">
        <v>977</v>
      </c>
      <c r="H140" s="17" t="s">
        <v>13</v>
      </c>
      <c r="I140" s="17" t="s">
        <v>14</v>
      </c>
      <c r="J140" s="17" t="s">
        <v>14</v>
      </c>
    </row>
    <row r="141" spans="1:11" ht="16" x14ac:dyDescent="0.2">
      <c r="A141" s="16">
        <v>70</v>
      </c>
      <c r="B141" s="34">
        <v>43164</v>
      </c>
      <c r="C141" s="105">
        <v>47</v>
      </c>
      <c r="D141" s="17" t="s">
        <v>228</v>
      </c>
      <c r="E141" s="17" t="s">
        <v>229</v>
      </c>
      <c r="F141" s="17"/>
      <c r="G141" s="18" t="s">
        <v>230</v>
      </c>
      <c r="H141" s="17" t="s">
        <v>23</v>
      </c>
      <c r="I141" s="17" t="s">
        <v>231</v>
      </c>
      <c r="J141" s="38" t="s">
        <v>232</v>
      </c>
    </row>
    <row r="142" spans="1:11" ht="16" x14ac:dyDescent="0.2">
      <c r="A142" s="16">
        <v>71</v>
      </c>
      <c r="B142" s="34">
        <v>43529</v>
      </c>
      <c r="C142" s="105">
        <v>9</v>
      </c>
      <c r="D142" s="17" t="str">
        <f>IF(C142=1,"Roßstr. 9",IF(C142=2,"Pfalzstr. 17",IF(C142=3,"Schlossstr. 19",IF(C142=4,"Neanderstr. 15",IF(C142=5,"Luisenstr. 3",IF(C142=6,"Lindenstr. 267",IF(C142=7,"Engerstr. 3",IF(C142=8,"Schützenstr. 20",IF(C142=9,"Stockkampstr. 47",IF(C142=10,"Driburgerstr. 8",IF(C142=11,"Kölnerstr. 261",IF(C142=12,"Merowingerstr. 17",IF(C142=13,"Borsigstr. 7",IF(C142=14,"Gerresheimer Landstr. 152",IF(C142=15,"Hoppengarten 15",IF(C142=16,"Hoppengarten 17",IF(C142=17,"Könerstr. 215",IF(C142=18,"Kölnerstr. 217",IF(C142=19,"Alte Bachstr. 25",IF(C142=20,"Kranzstr. 103",IF(C142=21,"Broicherdorfstr. 3",IF(C142=22,"Grafenberger Allee 235",IF(C142=23,"Börnestr. 2",IF(C142=24,"Angerbenden 31",IF(C142=25,"Koppelskamp 10",IF(C142=26,"Koppelskamp 12",IF(C142=27,"Koppelskamp 14",IF(C142=28,"Koppelskamp 8",IF(C142=29,"Bismarckstr. 109",IF(C142=30,"Memelstr. 43",IF(C142=31,"Angermunderstr. 30",IF(C142=32,"Koppelskamp 5",IF(C142=33,"Koppelskamp 5a",IF(C142=34,"Koppelskamp 7",IF(C142=35,"Lintorfer Waldstr. 6",IF(C142=36,"Lintorfer Waldstr. 8",IF(C142=37,"Lintorfer Waldstr. 10",IF(C142=38,"Koloniestr. 205",IF(C142=39,"Metzerstr. 28",IF(C142=40,"Metzerstr. 28a",IF(C142=41,"Spichernstr. 27",IF(C142=42,"Metzerstr. 17",IF(C142=43,"Neumühlerstr. 35",IF(C142=44,"Neumühlerstr. 37",IF(C142=45,"Neumühlerstr. 39",IF(C142=46,"Neumühlerstr. 41",IF(C142=47,"Mündelheimerstr. 3-5",IF(C142=48,"Mendelsohnstr. 3"))))))))))))))))))))))))))))))))))))))))))))))))</f>
        <v>Stockkampstr. 47</v>
      </c>
      <c r="E142" s="17" t="s">
        <v>693</v>
      </c>
      <c r="F142" s="17" t="s">
        <v>978</v>
      </c>
      <c r="G142" s="18" t="s">
        <v>979</v>
      </c>
      <c r="H142" s="17" t="s">
        <v>13</v>
      </c>
      <c r="I142" s="17" t="s">
        <v>119</v>
      </c>
      <c r="J142" s="17" t="s">
        <v>119</v>
      </c>
    </row>
    <row r="143" spans="1:11" ht="16" x14ac:dyDescent="0.2">
      <c r="A143" s="16">
        <v>71</v>
      </c>
      <c r="B143" s="34">
        <v>43164</v>
      </c>
      <c r="C143" s="105">
        <v>4</v>
      </c>
      <c r="D143" s="17" t="s">
        <v>168</v>
      </c>
      <c r="E143" s="17" t="s">
        <v>178</v>
      </c>
      <c r="F143" s="17" t="s">
        <v>233</v>
      </c>
      <c r="G143" s="18" t="s">
        <v>234</v>
      </c>
      <c r="H143" s="17" t="s">
        <v>13</v>
      </c>
      <c r="I143" s="29" t="s">
        <v>93</v>
      </c>
      <c r="J143" s="29" t="s">
        <v>93</v>
      </c>
    </row>
    <row r="144" spans="1:11" ht="32" x14ac:dyDescent="0.2">
      <c r="A144" s="16">
        <v>72</v>
      </c>
      <c r="B144" s="34">
        <v>43529</v>
      </c>
      <c r="C144" s="105">
        <v>19</v>
      </c>
      <c r="D144" s="17" t="str">
        <f>IF(C144=1,"Roßstr. 9",IF(C144=2,"Pfalzstr. 17",IF(C144=3,"Schlossstr. 19",IF(C144=4,"Neanderstr. 15",IF(C144=5,"Luisenstr. 3",IF(C144=6,"Lindenstr. 267",IF(C144=7,"Engerstr. 3",IF(C144=8,"Schützenstr. 20",IF(C144=9,"Stockkampstr. 47",IF(C144=10,"Driburgerstr. 8",IF(C144=11,"Kölnerstr. 261",IF(C144=12,"Merowingerstr. 17",IF(C144=13,"Borsigstr. 7",IF(C144=14,"Gerresheimer Landstr. 152",IF(C144=15,"Hoppengarten 15",IF(C144=16,"Hoppengarten 17",IF(C144=17,"Könerstr. 215",IF(C144=18,"Kölnerstr. 217",IF(C144=19,"Alte Bachstr. 25",IF(C144=20,"Kranzstr. 103",IF(C144=21,"Broicherdorfstr. 3",IF(C144=22,"Grafenberger Allee 235",IF(C144=23,"Börnestr. 2",IF(C144=24,"Angerbenden 31",IF(C144=25,"Koppelskamp 10",IF(C144=26,"Koppelskamp 12",IF(C144=27,"Koppelskamp 14",IF(C144=28,"Koppelskamp 8",IF(C144=29,"Bismarckstr. 109",IF(C144=30,"Memelstr. 43",IF(C144=31,"Angermunderstr. 30",IF(C144=32,"Koppelskamp 5",IF(C144=33,"Koppelskamp 5a",IF(C144=34,"Koppelskamp 7",IF(C144=35,"Lintorfer Waldstr. 6",IF(C144=36,"Lintorfer Waldstr. 8",IF(C144=37,"Lintorfer Waldstr. 10",IF(C144=38,"Koloniestr. 205",IF(C144=39,"Metzerstr. 28",IF(C144=40,"Metzerstr. 28a",IF(C144=41,"Spichernstr. 27",IF(C144=42,"Metzerstr. 17",IF(C144=43,"Neumühlerstr. 35",IF(C144=44,"Neumühlerstr. 37",IF(C144=45,"Neumühlerstr. 39",IF(C144=46,"Neumühlerstr. 41",IF(C144=47,"Mündelheimerstr. 3-5",IF(C144=48,"Mendelsohnstr. 3"))))))))))))))))))))))))))))))))))))))))))))))))</f>
        <v>Alte Bachstr. 25</v>
      </c>
      <c r="E144" s="17" t="s">
        <v>980</v>
      </c>
      <c r="F144" s="17"/>
      <c r="G144" s="18" t="s">
        <v>981</v>
      </c>
      <c r="H144" s="17" t="s">
        <v>982</v>
      </c>
      <c r="I144" s="21" t="s">
        <v>14</v>
      </c>
      <c r="J144" s="21" t="s">
        <v>14</v>
      </c>
    </row>
    <row r="145" spans="1:11" ht="16" x14ac:dyDescent="0.2">
      <c r="A145" s="16">
        <v>72</v>
      </c>
      <c r="B145" s="34">
        <v>43165</v>
      </c>
      <c r="C145" s="105">
        <v>20</v>
      </c>
      <c r="D145" s="17" t="s">
        <v>100</v>
      </c>
      <c r="E145" s="17" t="s">
        <v>235</v>
      </c>
      <c r="F145" s="17" t="s">
        <v>102</v>
      </c>
      <c r="G145" s="18" t="s">
        <v>236</v>
      </c>
      <c r="H145" s="17" t="s">
        <v>23</v>
      </c>
      <c r="I145" s="17" t="s">
        <v>14</v>
      </c>
      <c r="J145" s="17" t="s">
        <v>114</v>
      </c>
    </row>
    <row r="146" spans="1:11" ht="16" x14ac:dyDescent="0.2">
      <c r="A146" s="16">
        <v>73</v>
      </c>
      <c r="B146" s="34">
        <v>43165</v>
      </c>
      <c r="C146" s="105">
        <v>13</v>
      </c>
      <c r="D146" s="17" t="s">
        <v>238</v>
      </c>
      <c r="E146" s="17" t="s">
        <v>60</v>
      </c>
      <c r="F146" s="17" t="s">
        <v>239</v>
      </c>
      <c r="G146" s="18" t="s">
        <v>240</v>
      </c>
      <c r="H146" s="17" t="s">
        <v>23</v>
      </c>
      <c r="I146" s="23" t="s">
        <v>14</v>
      </c>
      <c r="J146" s="23" t="s">
        <v>14</v>
      </c>
    </row>
    <row r="147" spans="1:11" ht="16" x14ac:dyDescent="0.2">
      <c r="A147" s="16">
        <v>73</v>
      </c>
      <c r="B147" s="34">
        <v>43529</v>
      </c>
      <c r="C147" s="105">
        <v>8</v>
      </c>
      <c r="D147" s="17" t="str">
        <f>IF(C147=1,"Roßstr. 9",IF(C147=2,"Pfalzstr. 17",IF(C147=3,"Schlossstr. 19",IF(C147=4,"Neanderstr. 15",IF(C147=5,"Luisenstr. 3",IF(C147=6,"Lindenstr. 267",IF(C147=7,"Engerstr. 3",IF(C147=8,"Schützenstr. 20",IF(C147=9,"Stockkampstr. 47",IF(C147=10,"Driburgerstr. 8",IF(C147=11,"Kölnerstr. 261",IF(C147=12,"Merowingerstr. 17",IF(C147=13,"Borsigstr. 7",IF(C147=14,"Gerresheimer Landstr. 152",IF(C147=15,"Hoppengarten 15",IF(C147=16,"Hoppengarten 17",IF(C147=17,"Könerstr. 215",IF(C147=18,"Kölnerstr. 217",IF(C147=19,"Alte Bachstr. 25",IF(C147=20,"Kranzstr. 103",IF(C147=21,"Broicherdorfstr. 3",IF(C147=22,"Grafenberger Allee 235",IF(C147=23,"Börnestr. 2",IF(C147=24,"Angerbenden 31",IF(C147=25,"Koppelskamp 10",IF(C147=26,"Koppelskamp 12",IF(C147=27,"Koppelskamp 14",IF(C147=28,"Koppelskamp 8",IF(C147=29,"Bismarckstr. 109",IF(C147=30,"Memelstr. 43",IF(C147=31,"Angermunderstr. 30",IF(C147=32,"Koppelskamp 5",IF(C147=33,"Koppelskamp 5a",IF(C147=34,"Koppelskamp 7",IF(C147=35,"Lintorfer Waldstr. 6",IF(C147=36,"Lintorfer Waldstr. 8",IF(C147=37,"Lintorfer Waldstr. 10",IF(C147=38,"Koloniestr. 205",IF(C147=39,"Metzerstr. 28",IF(C147=40,"Metzerstr. 28a",IF(C147=41,"Spichernstr. 27",IF(C147=42,"Metzerstr. 17",IF(C147=43,"Neumühlerstr. 35",IF(C147=44,"Neumühlerstr. 37",IF(C147=45,"Neumühlerstr. 39",IF(C147=46,"Neumühlerstr. 41",IF(C147=47,"Mündelheimerstr. 3-5",IF(C147=48,"Mendelsohnstr. 3"))))))))))))))))))))))))))))))))))))))))))))))))</f>
        <v>Schützenstr. 20</v>
      </c>
      <c r="E147" s="17" t="s">
        <v>129</v>
      </c>
      <c r="F147" s="17" t="s">
        <v>190</v>
      </c>
      <c r="G147" s="18" t="s">
        <v>983</v>
      </c>
      <c r="H147" s="17" t="s">
        <v>23</v>
      </c>
      <c r="I147" s="17" t="s">
        <v>181</v>
      </c>
      <c r="J147" s="38" t="s">
        <v>181</v>
      </c>
    </row>
    <row r="148" spans="1:11" ht="16" x14ac:dyDescent="0.2">
      <c r="A148" s="16">
        <v>74</v>
      </c>
      <c r="B148" s="34">
        <v>43529</v>
      </c>
      <c r="C148" s="105">
        <v>46</v>
      </c>
      <c r="D148" s="17" t="str">
        <f>IF(C148=1,"Roßstr. 9",IF(C148=2,"Pfalzstr. 17",IF(C148=3,"Schlossstr. 19",IF(C148=4,"Neanderstr. 15",IF(C148=5,"Luisenstr. 3",IF(C148=6,"Lindenstr. 267",IF(C148=7,"Engerstr. 3",IF(C148=8,"Schützenstr. 20",IF(C148=9,"Stockkampstr. 47",IF(C148=10,"Driburgerstr. 8",IF(C148=11,"Kölnerstr. 261",IF(C148=12,"Merowingerstr. 17",IF(C148=13,"Borsigstr. 7",IF(C148=14,"Gerresheimer Landstr. 152",IF(C148=15,"Hoppengarten 15",IF(C148=16,"Hoppengarten 17",IF(C148=17,"Könerstr. 215",IF(C148=18,"Kölnerstr. 217",IF(C148=19,"Alte Bachstr. 25",IF(C148=20,"Kranzstr. 103",IF(C148=21,"Broicherdorfstr. 3",IF(C148=22,"Grafenberger Allee 235",IF(C148=23,"Börnestr. 2",IF(C148=24,"Angerbenden 31",IF(C148=25,"Koppelskamp 10",IF(C148=26,"Koppelskamp 12",IF(C148=27,"Koppelskamp 14",IF(C148=28,"Koppelskamp 8",IF(C148=29,"Bismarckstr. 109",IF(C148=30,"Memelstr. 43",IF(C148=31,"Angermunderstr. 30",IF(C148=32,"Koppelskamp 5",IF(C148=33,"Koppelskamp 5a",IF(C148=34,"Koppelskamp 7",IF(C148=35,"Lintorfer Waldstr. 6",IF(C148=36,"Lintorfer Waldstr. 8",IF(C148=37,"Lintorfer Waldstr. 10",IF(C148=38,"Koloniestr. 205",IF(C148=39,"Metzerstr. 28",IF(C148=40,"Metzerstr. 28a",IF(C148=41,"Spichernstr. 27",IF(C148=42,"Metzerstr. 17",IF(C148=43,"Neumühlerstr. 35",IF(C148=44,"Neumühlerstr. 37",IF(C148=45,"Neumühlerstr. 39",IF(C148=46,"Neumühlerstr. 41",IF(C148=47,"Mündelheimerstr. 3-5",IF(C148=48,"Mendelsohnstr. 3"))))))))))))))))))))))))))))))))))))))))))))))))</f>
        <v>Neumühlerstr. 41</v>
      </c>
      <c r="E148" s="17" t="s">
        <v>138</v>
      </c>
      <c r="F148" s="17" t="s">
        <v>17</v>
      </c>
      <c r="G148" s="18" t="s">
        <v>984</v>
      </c>
      <c r="H148" s="17" t="s">
        <v>13</v>
      </c>
      <c r="I148" s="17" t="s">
        <v>14</v>
      </c>
      <c r="J148" s="17" t="s">
        <v>14</v>
      </c>
    </row>
    <row r="149" spans="1:11" ht="16" x14ac:dyDescent="0.2">
      <c r="A149" s="16">
        <v>74</v>
      </c>
      <c r="B149" s="34">
        <v>43165</v>
      </c>
      <c r="C149" s="105">
        <v>38</v>
      </c>
      <c r="D149" s="17" t="s">
        <v>171</v>
      </c>
      <c r="E149" s="17" t="s">
        <v>36</v>
      </c>
      <c r="F149" s="17"/>
      <c r="G149" s="18" t="s">
        <v>241</v>
      </c>
      <c r="H149" s="17" t="s">
        <v>13</v>
      </c>
      <c r="I149" s="21" t="s">
        <v>119</v>
      </c>
      <c r="J149" s="21" t="s">
        <v>119</v>
      </c>
    </row>
    <row r="150" spans="1:11" ht="16" x14ac:dyDescent="0.2">
      <c r="A150" s="16">
        <v>75</v>
      </c>
      <c r="B150" s="34">
        <v>43531</v>
      </c>
      <c r="C150" s="105">
        <v>19</v>
      </c>
      <c r="D150" s="17" t="str">
        <f>IF(C150=1,"Roßstr. 9",IF(C150=2,"Pfalzstr. 17",IF(C150=3,"Schlossstr. 19",IF(C150=4,"Neanderstr. 15",IF(C150=5,"Luisenstr. 3",IF(C150=6,"Lindenstr. 267",IF(C150=7,"Engerstr. 3",IF(C150=8,"Schützenstr. 20",IF(C150=9,"Stockkampstr. 47",IF(C150=10,"Driburgerstr. 8",IF(C150=11,"Kölnerstr. 261",IF(C150=12,"Merowingerstr. 17",IF(C150=13,"Borsigstr. 7",IF(C150=14,"Gerresheimer Landstr. 152",IF(C150=15,"Hoppengarten 15",IF(C150=16,"Hoppengarten 17",IF(C150=17,"Könerstr. 215",IF(C150=18,"Kölnerstr. 217",IF(C150=19,"Alte Bachstr. 25",IF(C150=20,"Kranzstr. 103",IF(C150=21,"Broicherdorfstr. 3",IF(C150=22,"Grafenberger Allee 235",IF(C150=23,"Börnestr. 2",IF(C150=24,"Angerbenden 31",IF(C150=25,"Koppelskamp 10",IF(C150=26,"Koppelskamp 12",IF(C150=27,"Koppelskamp 14",IF(C150=28,"Koppelskamp 8",IF(C150=29,"Bismarckstr. 109",IF(C150=30,"Memelstr. 43",IF(C150=31,"Angermunderstr. 30",IF(C150=32,"Koppelskamp 5",IF(C150=33,"Koppelskamp 5a",IF(C150=34,"Koppelskamp 7",IF(C150=35,"Lintorfer Waldstr. 6",IF(C150=36,"Lintorfer Waldstr. 8",IF(C150=37,"Lintorfer Waldstr. 10",IF(C150=38,"Koloniestr. 205",IF(C150=39,"Metzerstr. 28",IF(C150=40,"Metzerstr. 28a",IF(C150=41,"Spichernstr. 27",IF(C150=42,"Metzerstr. 17",IF(C150=43,"Neumühlerstr. 35",IF(C150=44,"Neumühlerstr. 37",IF(C150=45,"Neumühlerstr. 39",IF(C150=46,"Neumühlerstr. 41",IF(C150=47,"Mündelheimerstr. 3-5",IF(C150=48,"Mendelsohnstr. 3"))))))))))))))))))))))))))))))))))))))))))))))))</f>
        <v>Alte Bachstr. 25</v>
      </c>
      <c r="E150" s="17" t="s">
        <v>985</v>
      </c>
      <c r="F150" s="17" t="s">
        <v>17</v>
      </c>
      <c r="G150" s="18" t="s">
        <v>986</v>
      </c>
      <c r="H150" s="17" t="s">
        <v>23</v>
      </c>
      <c r="I150" s="21" t="s">
        <v>411</v>
      </c>
      <c r="J150" s="21" t="s">
        <v>411</v>
      </c>
    </row>
    <row r="151" spans="1:11" ht="16" x14ac:dyDescent="0.2">
      <c r="A151" s="16">
        <v>75</v>
      </c>
      <c r="B151" s="34">
        <v>43137</v>
      </c>
      <c r="C151" s="105">
        <v>4</v>
      </c>
      <c r="D151" s="17" t="s">
        <v>168</v>
      </c>
      <c r="E151" s="17" t="s">
        <v>32</v>
      </c>
      <c r="F151" s="17" t="s">
        <v>242</v>
      </c>
      <c r="G151" s="18" t="s">
        <v>243</v>
      </c>
      <c r="H151" s="17" t="s">
        <v>58</v>
      </c>
      <c r="I151" s="17" t="s">
        <v>93</v>
      </c>
      <c r="J151" s="17" t="s">
        <v>93</v>
      </c>
    </row>
    <row r="152" spans="1:11" ht="16" x14ac:dyDescent="0.2">
      <c r="A152" s="16">
        <v>76</v>
      </c>
      <c r="B152" s="34">
        <v>43166</v>
      </c>
      <c r="C152" s="105">
        <v>9</v>
      </c>
      <c r="D152" s="17" t="s">
        <v>244</v>
      </c>
      <c r="E152" s="17" t="s">
        <v>245</v>
      </c>
      <c r="F152" s="17" t="s">
        <v>246</v>
      </c>
      <c r="G152" s="23" t="s">
        <v>247</v>
      </c>
      <c r="H152" s="17" t="s">
        <v>23</v>
      </c>
      <c r="I152" s="17" t="s">
        <v>14</v>
      </c>
      <c r="J152" s="17" t="s">
        <v>14</v>
      </c>
    </row>
    <row r="153" spans="1:11" ht="16" x14ac:dyDescent="0.2">
      <c r="A153" s="16">
        <v>76</v>
      </c>
      <c r="B153" s="34">
        <v>43531</v>
      </c>
      <c r="C153" s="105">
        <v>19</v>
      </c>
      <c r="D153" s="17" t="str">
        <f>IF(C153=1,"Roßstr. 9",IF(C153=2,"Pfalzstr. 17",IF(C153=3,"Schlossstr. 19",IF(C153=4,"Neanderstr. 15",IF(C153=5,"Luisenstr. 3",IF(C153=6,"Lindenstr. 267",IF(C153=7,"Engerstr. 3",IF(C153=8,"Schützenstr. 20",IF(C153=9,"Stockkampstr. 47",IF(C153=10,"Driburgerstr. 8",IF(C153=11,"Kölnerstr. 261",IF(C153=12,"Merowingerstr. 17",IF(C153=13,"Borsigstr. 7",IF(C153=14,"Gerresheimer Landstr. 152",IF(C153=15,"Hoppengarten 15",IF(C153=16,"Hoppengarten 17",IF(C153=17,"Könerstr. 215",IF(C153=18,"Kölnerstr. 217",IF(C153=19,"Alte Bachstr. 25",IF(C153=20,"Kranzstr. 103",IF(C153=21,"Broicherdorfstr. 3",IF(C153=22,"Grafenberger Allee 235",IF(C153=23,"Börnestr. 2",IF(C153=24,"Angerbenden 31",IF(C153=25,"Koppelskamp 10",IF(C153=26,"Koppelskamp 12",IF(C153=27,"Koppelskamp 14",IF(C153=28,"Koppelskamp 8",IF(C153=29,"Bismarckstr. 109",IF(C153=30,"Memelstr. 43",IF(C153=31,"Angermunderstr. 30",IF(C153=32,"Koppelskamp 5",IF(C153=33,"Koppelskamp 5a",IF(C153=34,"Koppelskamp 7",IF(C153=35,"Lintorfer Waldstr. 6",IF(C153=36,"Lintorfer Waldstr. 8",IF(C153=37,"Lintorfer Waldstr. 10",IF(C153=38,"Koloniestr. 205",IF(C153=39,"Metzerstr. 28",IF(C153=40,"Metzerstr. 28a",IF(C153=41,"Spichernstr. 27",IF(C153=42,"Metzerstr. 17",IF(C153=43,"Neumühlerstr. 35",IF(C153=44,"Neumühlerstr. 37",IF(C153=45,"Neumühlerstr. 39",IF(C153=46,"Neumühlerstr. 41",IF(C153=47,"Mündelheimerstr. 3-5",IF(C153=48,"Mendelsohnstr. 3"))))))))))))))))))))))))))))))))))))))))))))))))</f>
        <v>Alte Bachstr. 25</v>
      </c>
      <c r="E153" s="17" t="s">
        <v>985</v>
      </c>
      <c r="F153" s="17" t="s">
        <v>17</v>
      </c>
      <c r="G153" s="18" t="s">
        <v>61</v>
      </c>
      <c r="H153" s="17" t="s">
        <v>23</v>
      </c>
      <c r="I153" s="17" t="s">
        <v>14</v>
      </c>
      <c r="J153" s="17" t="s">
        <v>14</v>
      </c>
    </row>
    <row r="154" spans="1:11" ht="16" x14ac:dyDescent="0.2">
      <c r="A154" s="16">
        <v>77</v>
      </c>
      <c r="B154" s="34">
        <v>43531</v>
      </c>
      <c r="C154" s="105">
        <v>19</v>
      </c>
      <c r="D154" s="17" t="str">
        <f>IF(C154=1,"Roßstr. 9",IF(C154=2,"Pfalzstr. 17",IF(C154=3,"Schlossstr. 19",IF(C154=4,"Neanderstr. 15",IF(C154=5,"Luisenstr. 3",IF(C154=6,"Lindenstr. 267",IF(C154=7,"Engerstr. 3",IF(C154=8,"Schützenstr. 20",IF(C154=9,"Stockkampstr. 47",IF(C154=10,"Driburgerstr. 8",IF(C154=11,"Kölnerstr. 261",IF(C154=12,"Merowingerstr. 17",IF(C154=13,"Borsigstr. 7",IF(C154=14,"Gerresheimer Landstr. 152",IF(C154=15,"Hoppengarten 15",IF(C154=16,"Hoppengarten 17",IF(C154=17,"Könerstr. 215",IF(C154=18,"Kölnerstr. 217",IF(C154=19,"Alte Bachstr. 25",IF(C154=20,"Kranzstr. 103",IF(C154=21,"Broicherdorfstr. 3",IF(C154=22,"Grafenberger Allee 235",IF(C154=23,"Börnestr. 2",IF(C154=24,"Angerbenden 31",IF(C154=25,"Koppelskamp 10",IF(C154=26,"Koppelskamp 12",IF(C154=27,"Koppelskamp 14",IF(C154=28,"Koppelskamp 8",IF(C154=29,"Bismarckstr. 109",IF(C154=30,"Memelstr. 43",IF(C154=31,"Angermunderstr. 30",IF(C154=32,"Koppelskamp 5",IF(C154=33,"Koppelskamp 5a",IF(C154=34,"Koppelskamp 7",IF(C154=35,"Lintorfer Waldstr. 6",IF(C154=36,"Lintorfer Waldstr. 8",IF(C154=37,"Lintorfer Waldstr. 10",IF(C154=38,"Koloniestr. 205",IF(C154=39,"Metzerstr. 28",IF(C154=40,"Metzerstr. 28a",IF(C154=41,"Spichernstr. 27",IF(C154=42,"Metzerstr. 17",IF(C154=43,"Neumühlerstr. 35",IF(C154=44,"Neumühlerstr. 37",IF(C154=45,"Neumühlerstr. 39",IF(C154=46,"Neumühlerstr. 41",IF(C154=47,"Mündelheimerstr. 3-5",IF(C154=48,"Mendelsohnstr. 3"))))))))))))))))))))))))))))))))))))))))))))))))</f>
        <v>Alte Bachstr. 25</v>
      </c>
      <c r="E154" s="17" t="s">
        <v>987</v>
      </c>
      <c r="F154" s="17" t="s">
        <v>17</v>
      </c>
      <c r="G154" s="18" t="s">
        <v>61</v>
      </c>
      <c r="H154" s="17" t="s">
        <v>23</v>
      </c>
      <c r="I154" s="38" t="s">
        <v>14</v>
      </c>
      <c r="J154" s="38" t="s">
        <v>14</v>
      </c>
      <c r="K154" s="43" t="s">
        <v>416</v>
      </c>
    </row>
    <row r="155" spans="1:11" ht="16" x14ac:dyDescent="0.2">
      <c r="A155" s="16">
        <v>77</v>
      </c>
      <c r="B155" s="34">
        <v>43167</v>
      </c>
      <c r="C155" s="105">
        <v>32</v>
      </c>
      <c r="D155" s="17" t="s">
        <v>39</v>
      </c>
      <c r="E155" s="17" t="s">
        <v>60</v>
      </c>
      <c r="F155" s="17" t="s">
        <v>248</v>
      </c>
      <c r="G155" s="18" t="s">
        <v>249</v>
      </c>
      <c r="H155" s="17" t="s">
        <v>13</v>
      </c>
      <c r="I155" s="17" t="s">
        <v>19</v>
      </c>
      <c r="J155" s="17" t="s">
        <v>19</v>
      </c>
    </row>
    <row r="156" spans="1:11" ht="16" x14ac:dyDescent="0.2">
      <c r="A156" s="16">
        <v>78</v>
      </c>
      <c r="B156" s="34">
        <v>43531</v>
      </c>
      <c r="C156" s="105">
        <v>3</v>
      </c>
      <c r="D156" s="17" t="str">
        <f>IF(C156=1,"Roßstr. 9",IF(C156=2,"Pfalzstr. 17",IF(C156=3,"Schlossstr. 19",IF(C156=4,"Neanderstr. 15",IF(C156=5,"Luisenstr. 3",IF(C156=6,"Lindenstr. 267",IF(C156=7,"Engerstr. 3",IF(C156=8,"Schützenstr. 20",IF(C156=9,"Stockkampstr. 47",IF(C156=10,"Driburgerstr. 8",IF(C156=11,"Kölnerstr. 261",IF(C156=12,"Merowingerstr. 17",IF(C156=13,"Borsigstr. 7",IF(C156=14,"Gerresheimer Landstr. 152",IF(C156=15,"Hoppengarten 15",IF(C156=16,"Hoppengarten 17",IF(C156=17,"Könerstr. 215",IF(C156=18,"Kölnerstr. 217",IF(C156=19,"Alte Bachstr. 25",IF(C156=20,"Kranzstr. 103",IF(C156=21,"Broicherdorfstr. 3",IF(C156=22,"Grafenberger Allee 235",IF(C156=23,"Börnestr. 2",IF(C156=24,"Angerbenden 31",IF(C156=25,"Koppelskamp 10",IF(C156=26,"Koppelskamp 12",IF(C156=27,"Koppelskamp 14",IF(C156=28,"Koppelskamp 8",IF(C156=29,"Bismarckstr. 109",IF(C156=30,"Memelstr. 43",IF(C156=31,"Angermunderstr. 30",IF(C156=32,"Koppelskamp 5",IF(C156=33,"Koppelskamp 5a",IF(C156=34,"Koppelskamp 7",IF(C156=35,"Lintorfer Waldstr. 6",IF(C156=36,"Lintorfer Waldstr. 8",IF(C156=37,"Lintorfer Waldstr. 10",IF(C156=38,"Koloniestr. 205",IF(C156=39,"Metzerstr. 28",IF(C156=40,"Metzerstr. 28a",IF(C156=41,"Spichernstr. 27",IF(C156=42,"Metzerstr. 17",IF(C156=43,"Neumühlerstr. 35",IF(C156=44,"Neumühlerstr. 37",IF(C156=45,"Neumühlerstr. 39",IF(C156=46,"Neumühlerstr. 41",IF(C156=47,"Mündelheimerstr. 3-5",IF(C156=48,"Mendelsohnstr. 3"))))))))))))))))))))))))))))))))))))))))))))))))</f>
        <v>Schlossstr. 19</v>
      </c>
      <c r="E156" s="17" t="s">
        <v>712</v>
      </c>
      <c r="F156" s="17" t="s">
        <v>988</v>
      </c>
      <c r="G156" s="18" t="s">
        <v>989</v>
      </c>
      <c r="H156" s="17" t="s">
        <v>58</v>
      </c>
      <c r="I156" s="17" t="s">
        <v>14</v>
      </c>
      <c r="J156" s="17" t="s">
        <v>14</v>
      </c>
    </row>
    <row r="157" spans="1:11" ht="16" x14ac:dyDescent="0.2">
      <c r="A157" s="16">
        <v>78</v>
      </c>
      <c r="B157" s="34">
        <v>43167</v>
      </c>
      <c r="C157" s="105">
        <v>2</v>
      </c>
      <c r="D157" s="17" t="s">
        <v>148</v>
      </c>
      <c r="E157" s="17" t="s">
        <v>138</v>
      </c>
      <c r="F157" s="17" t="s">
        <v>250</v>
      </c>
      <c r="G157" s="18" t="s">
        <v>251</v>
      </c>
      <c r="H157" s="17" t="s">
        <v>13</v>
      </c>
      <c r="I157" s="17" t="s">
        <v>119</v>
      </c>
      <c r="J157" s="17" t="s">
        <v>252</v>
      </c>
    </row>
    <row r="158" spans="1:11" ht="16" x14ac:dyDescent="0.2">
      <c r="A158" s="16">
        <v>79</v>
      </c>
      <c r="B158" s="34">
        <v>43531</v>
      </c>
      <c r="C158" s="105">
        <v>10</v>
      </c>
      <c r="D158" s="17" t="s">
        <v>708</v>
      </c>
      <c r="E158" s="17" t="s">
        <v>129</v>
      </c>
      <c r="F158" s="17" t="s">
        <v>990</v>
      </c>
      <c r="G158" s="18" t="s">
        <v>991</v>
      </c>
      <c r="H158" s="17" t="s">
        <v>58</v>
      </c>
      <c r="I158" s="17" t="s">
        <v>14</v>
      </c>
      <c r="J158" s="17" t="s">
        <v>14</v>
      </c>
    </row>
    <row r="159" spans="1:11" ht="16" x14ac:dyDescent="0.2">
      <c r="A159" s="16">
        <v>79</v>
      </c>
      <c r="B159" s="34">
        <v>43167</v>
      </c>
      <c r="C159" s="105">
        <v>43</v>
      </c>
      <c r="D159" s="17" t="s">
        <v>253</v>
      </c>
      <c r="E159" s="17" t="s">
        <v>60</v>
      </c>
      <c r="F159" s="17" t="s">
        <v>254</v>
      </c>
      <c r="G159" s="18" t="s">
        <v>61</v>
      </c>
      <c r="H159" s="17" t="s">
        <v>23</v>
      </c>
      <c r="I159" s="17" t="s">
        <v>14</v>
      </c>
      <c r="J159" s="17" t="s">
        <v>252</v>
      </c>
    </row>
    <row r="160" spans="1:11" ht="16" x14ac:dyDescent="0.2">
      <c r="A160" s="16">
        <v>80</v>
      </c>
      <c r="B160" s="34">
        <v>43532</v>
      </c>
      <c r="C160" s="105">
        <v>19</v>
      </c>
      <c r="D160" s="17" t="str">
        <f>IF(C160=1,"Roßstr. 9",IF(C160=2,"Pfalzstr. 17",IF(C160=3,"Schlossstr. 19",IF(C160=4,"Neanderstr. 15",IF(C160=5,"Luisenstr. 3",IF(C160=6,"Lindenstr. 267",IF(C160=7,"Engerstr. 3",IF(C160=8,"Schützenstr. 20",IF(C160=9,"Stockkampstr. 47",IF(C160=10,"Driburgerstr. 8",IF(C160=11,"Kölnerstr. 261",IF(C160=12,"Merowingerstr. 17",IF(C160=13,"Borsigstr. 7",IF(C160=14,"Gerresheimer Landstr. 152",IF(C160=15,"Hoppengarten 15",IF(C160=16,"Hoppengarten 17",IF(C160=17,"Könerstr. 215",IF(C160=18,"Kölnerstr. 217",IF(C160=19,"Alte Bachstr. 25",IF(C160=20,"Kranzstr. 103",IF(C160=21,"Broicherdorfstr. 3",IF(C160=22,"Grafenberger Allee 235",IF(C160=23,"Börnestr. 2",IF(C160=24,"Angerbenden 31",IF(C160=25,"Koppelskamp 10",IF(C160=26,"Koppelskamp 12",IF(C160=27,"Koppelskamp 14",IF(C160=28,"Koppelskamp 8",IF(C160=29,"Bismarckstr. 109",IF(C160=30,"Memelstr. 43",IF(C160=31,"Angermunderstr. 30",IF(C160=32,"Koppelskamp 5",IF(C160=33,"Koppelskamp 5a",IF(C160=34,"Koppelskamp 7",IF(C160=35,"Lintorfer Waldstr. 6",IF(C160=36,"Lintorfer Waldstr. 8",IF(C160=37,"Lintorfer Waldstr. 10",IF(C160=38,"Koloniestr. 205",IF(C160=39,"Metzerstr. 28",IF(C160=40,"Metzerstr. 28a",IF(C160=41,"Spichernstr. 27",IF(C160=42,"Metzerstr. 17",IF(C160=43,"Neumühlerstr. 35",IF(C160=44,"Neumühlerstr. 37",IF(C160=45,"Neumühlerstr. 39",IF(C160=46,"Neumühlerstr. 41",IF(C160=47,"Mündelheimerstr. 3-5",IF(C160=48,"Mendelsohnstr. 3"))))))))))))))))))))))))))))))))))))))))))))))))</f>
        <v>Alte Bachstr. 25</v>
      </c>
      <c r="E160" s="17" t="s">
        <v>987</v>
      </c>
      <c r="F160" s="17" t="s">
        <v>17</v>
      </c>
      <c r="G160" s="18" t="s">
        <v>737</v>
      </c>
      <c r="H160" s="17" t="s">
        <v>23</v>
      </c>
      <c r="I160" s="17" t="s">
        <v>411</v>
      </c>
      <c r="J160" s="17" t="s">
        <v>411</v>
      </c>
    </row>
    <row r="161" spans="1:11" ht="16" x14ac:dyDescent="0.2">
      <c r="A161" s="16">
        <v>80</v>
      </c>
      <c r="B161" s="34">
        <v>43167</v>
      </c>
      <c r="C161" s="105">
        <v>40</v>
      </c>
      <c r="D161" s="17" t="s">
        <v>255</v>
      </c>
      <c r="E161" s="17" t="s">
        <v>256</v>
      </c>
      <c r="F161" s="17" t="s">
        <v>257</v>
      </c>
      <c r="G161" s="18" t="s">
        <v>258</v>
      </c>
      <c r="H161" s="17" t="s">
        <v>13</v>
      </c>
      <c r="I161" s="17" t="s">
        <v>145</v>
      </c>
      <c r="J161" s="17" t="s">
        <v>145</v>
      </c>
    </row>
    <row r="162" spans="1:11" ht="16" x14ac:dyDescent="0.2">
      <c r="A162" s="16">
        <v>81</v>
      </c>
      <c r="B162" s="34">
        <v>43167</v>
      </c>
      <c r="C162" s="105">
        <v>38</v>
      </c>
      <c r="D162" s="17" t="s">
        <v>171</v>
      </c>
      <c r="E162" s="17" t="s">
        <v>149</v>
      </c>
      <c r="F162" s="17" t="s">
        <v>259</v>
      </c>
      <c r="G162" s="18" t="s">
        <v>260</v>
      </c>
      <c r="H162" s="17" t="s">
        <v>13</v>
      </c>
      <c r="I162" s="17" t="s">
        <v>14</v>
      </c>
      <c r="J162" s="17" t="s">
        <v>14</v>
      </c>
    </row>
    <row r="163" spans="1:11" ht="16" x14ac:dyDescent="0.2">
      <c r="A163" s="16">
        <v>81</v>
      </c>
      <c r="B163" s="34">
        <v>43536</v>
      </c>
      <c r="C163" s="105">
        <v>45</v>
      </c>
      <c r="D163" s="17" t="str">
        <f>IF(C163=1,"Roßstr. 9",IF(C163=2,"Pfalzstr. 17",IF(C163=3,"Schlossstr. 19",IF(C163=4,"Neanderstr. 15",IF(C163=5,"Luisenstr. 3",IF(C163=6,"Lindenstr. 267",IF(C163=7,"Engerstr. 3",IF(C163=8,"Schützenstr. 20",IF(C163=9,"Stockkampstr. 47",IF(C163=10,"Driburgerstr. 8",IF(C163=11,"Kölnerstr. 261",IF(C163=12,"Merowingerstr. 17",IF(C163=13,"Borsigstr. 7",IF(C163=14,"Gerresheimer Landstr. 152",IF(C163=15,"Hoppengarten 15",IF(C163=16,"Hoppengarten 17",IF(C163=17,"Könerstr. 215",IF(C163=18,"Kölnerstr. 217",IF(C163=19,"Alte Bachstr. 25",IF(C163=20,"Kranzstr. 103",IF(C163=21,"Broicherdorfstr. 3",IF(C163=22,"Grafenberger Allee 235",IF(C163=23,"Börnestr. 2",IF(C163=24,"Angerbenden 31",IF(C163=25,"Koppelskamp 10",IF(C163=26,"Koppelskamp 12",IF(C163=27,"Koppelskamp 14",IF(C163=28,"Koppelskamp 8",IF(C163=29,"Bismarckstr. 109",IF(C163=30,"Memelstr. 43",IF(C163=31,"Angermunderstr. 30",IF(C163=32,"Koppelskamp 5",IF(C163=33,"Koppelskamp 5a",IF(C163=34,"Koppelskamp 7",IF(C163=35,"Lintorfer Waldstr. 6",IF(C163=36,"Lintorfer Waldstr. 8",IF(C163=37,"Lintorfer Waldstr. 10",IF(C163=38,"Koloniestr. 205",IF(C163=39,"Metzerstr. 28",IF(C163=40,"Metzerstr. 28a",IF(C163=41,"Spichernstr. 27",IF(C163=42,"Metzerstr. 17",IF(C163=43,"Neumühlerstr. 35",IF(C163=44,"Neumühlerstr. 37",IF(C163=45,"Neumühlerstr. 39",IF(C163=46,"Neumühlerstr. 41",IF(C163=47,"Mündelheimerstr. 3-5",IF(C163=48,"Mendelsohnstr. 3"))))))))))))))))))))))))))))))))))))))))))))))))</f>
        <v>Neumühlerstr. 39</v>
      </c>
      <c r="E163" s="17" t="s">
        <v>202</v>
      </c>
      <c r="F163" s="17" t="s">
        <v>992</v>
      </c>
      <c r="G163" s="18" t="s">
        <v>993</v>
      </c>
      <c r="H163" s="17" t="s">
        <v>13</v>
      </c>
      <c r="I163" s="38" t="s">
        <v>916</v>
      </c>
      <c r="J163" s="38" t="s">
        <v>916</v>
      </c>
    </row>
    <row r="164" spans="1:11" ht="16" x14ac:dyDescent="0.2">
      <c r="A164" s="16">
        <v>82</v>
      </c>
      <c r="B164" s="34">
        <v>43167</v>
      </c>
      <c r="C164" s="105">
        <v>47</v>
      </c>
      <c r="D164" s="17" t="s">
        <v>228</v>
      </c>
      <c r="E164" s="17" t="s">
        <v>138</v>
      </c>
      <c r="F164" s="17" t="s">
        <v>261</v>
      </c>
      <c r="G164" s="18" t="s">
        <v>262</v>
      </c>
      <c r="H164" s="17" t="s">
        <v>13</v>
      </c>
      <c r="I164" s="17" t="s">
        <v>145</v>
      </c>
      <c r="J164" s="17" t="s">
        <v>145</v>
      </c>
      <c r="K164" s="26"/>
    </row>
    <row r="165" spans="1:11" x14ac:dyDescent="0.2">
      <c r="A165" s="16">
        <v>82</v>
      </c>
      <c r="B165" s="34">
        <v>43536</v>
      </c>
      <c r="C165" s="105">
        <v>30</v>
      </c>
      <c r="D165" s="17" t="str">
        <f>IF(C165=1,"Roßstr. 9",IF(C165=2,"Pfalzstr. 17",IF(C165=3,"Schlossstr. 19",IF(C165=4,"Neanderstr. 15",IF(C165=5,"Luisenstr. 3",IF(C165=6,"Lindenstr. 267",IF(C165=7,"Engerstr. 3",IF(C165=8,"Schützenstr. 20",IF(C165=9,"Stockkampstr. 47",IF(C165=10,"Driburgerstr. 8",IF(C165=11,"Kölnerstr. 261",IF(C165=12,"Merowingerstr. 17",IF(C165=13,"Borsigstr. 7",IF(C165=14,"Gerresheimer Landstr. 152",IF(C165=15,"Hoppengarten 15",IF(C165=16,"Hoppengarten 17",IF(C165=17,"Könerstr. 215",IF(C165=18,"Kölnerstr. 217",IF(C165=19,"Alte Bachstr. 25",IF(C165=20,"Kranzstr. 103",IF(C165=21,"Broicherdorfstr. 3",IF(C165=22,"Grafenberger Allee 235",IF(C165=23,"Börnestr. 2",IF(C165=24,"Angerbenden 31",IF(C165=25,"Koppelskamp 10",IF(C165=26,"Koppelskamp 12",IF(C165=27,"Koppelskamp 14",IF(C165=28,"Koppelskamp 8",IF(C165=29,"Bismarckstr. 109",IF(C165=30,"Memelstr. 43",IF(C165=31,"Angermunderstr. 30",IF(C165=32,"Koppelskamp 5",IF(C165=33,"Koppelskamp 5a",IF(C165=34,"Koppelskamp 7",IF(C165=35,"Lintorfer Waldstr. 6",IF(C165=36,"Lintorfer Waldstr. 8",IF(C165=37,"Lintorfer Waldstr. 10",IF(C165=38,"Koloniestr. 205",IF(C165=39,"Metzerstr. 28",IF(C165=40,"Metzerstr. 28a",IF(C165=41,"Spichernstr. 27",IF(C165=42,"Metzerstr. 17",IF(C165=43,"Neumühlerstr. 35",IF(C165=44,"Neumühlerstr. 37",IF(C165=45,"Neumühlerstr. 39",IF(C165=46,"Neumühlerstr. 41",IF(C165=47,"Mündelheimerstr. 3-5",IF(C165=48,"Mendelsohnstr. 3"))))))))))))))))))))))))))))))))))))))))))))))))</f>
        <v>Memelstr. 43</v>
      </c>
      <c r="E165" s="17" t="s">
        <v>94</v>
      </c>
      <c r="F165" s="17"/>
      <c r="G165" s="18"/>
      <c r="H165" s="17"/>
      <c r="I165" s="17"/>
      <c r="J165" s="17"/>
    </row>
    <row r="166" spans="1:11" ht="16" x14ac:dyDescent="0.2">
      <c r="A166" s="16">
        <v>83</v>
      </c>
      <c r="B166" s="34">
        <v>43537</v>
      </c>
      <c r="C166" s="105">
        <v>16</v>
      </c>
      <c r="D166" s="17" t="str">
        <f>IF(C166=1,"Roßstr. 9",IF(C166=2,"Pfalzstr. 17",IF(C166=3,"Schlossstr. 19",IF(C166=4,"Neanderstr. 15",IF(C166=5,"Luisenstr. 3",IF(C166=6,"Lindenstr. 267",IF(C166=7,"Engerstr. 3",IF(C166=8,"Schützenstr. 20",IF(C166=9,"Stockkampstr. 47",IF(C166=10,"Driburgerstr. 8",IF(C166=11,"Kölnerstr. 261",IF(C166=12,"Merowingerstr. 17",IF(C166=13,"Borsigstr. 7",IF(C166=14,"Gerresheimer Landstr. 152",IF(C166=15,"Hoppengarten 15",IF(C166=16,"Hoppengarten 17",IF(C166=17,"Könerstr. 215",IF(C166=18,"Kölnerstr. 217",IF(C166=19,"Alte Bachstr. 25",IF(C166=20,"Kranzstr. 103",IF(C166=21,"Broicherdorfstr. 3",IF(C166=22,"Grafenberger Allee 235",IF(C166=23,"Börnestr. 2",IF(C166=24,"Angerbenden 31",IF(C166=25,"Koppelskamp 10",IF(C166=26,"Koppelskamp 12",IF(C166=27,"Koppelskamp 14",IF(C166=28,"Koppelskamp 8",IF(C166=29,"Bismarckstr. 109",IF(C166=30,"Memelstr. 43",IF(C166=31,"Angermunderstr. 30",IF(C166=32,"Koppelskamp 5",IF(C166=33,"Koppelskamp 5a",IF(C166=34,"Koppelskamp 7",IF(C166=35,"Lintorfer Waldstr. 6",IF(C166=36,"Lintorfer Waldstr. 8",IF(C166=37,"Lintorfer Waldstr. 10",IF(C166=38,"Koloniestr. 205",IF(C166=39,"Metzerstr. 28",IF(C166=40,"Metzerstr. 28a",IF(C166=41,"Spichernstr. 27",IF(C166=42,"Metzerstr. 17",IF(C166=43,"Neumühlerstr. 35",IF(C166=44,"Neumühlerstr. 37",IF(C166=45,"Neumühlerstr. 39",IF(C166=46,"Neumühlerstr. 41",IF(C166=47,"Mündelheimerstr. 3-5",IF(C166=48,"Mendelsohnstr. 3"))))))))))))))))))))))))))))))))))))))))))))))))</f>
        <v>Hoppengarten 17</v>
      </c>
      <c r="E166" s="17" t="s">
        <v>637</v>
      </c>
      <c r="F166" s="17" t="s">
        <v>994</v>
      </c>
      <c r="G166" s="18" t="s">
        <v>995</v>
      </c>
      <c r="H166" s="17" t="s">
        <v>58</v>
      </c>
      <c r="I166" s="17" t="s">
        <v>119</v>
      </c>
      <c r="J166" s="21" t="s">
        <v>119</v>
      </c>
    </row>
    <row r="167" spans="1:11" ht="16" x14ac:dyDescent="0.2">
      <c r="A167" s="16">
        <v>83</v>
      </c>
      <c r="B167" s="34">
        <v>43167</v>
      </c>
      <c r="C167" s="105">
        <v>7</v>
      </c>
      <c r="D167" s="17" t="s">
        <v>55</v>
      </c>
      <c r="E167" s="17" t="s">
        <v>263</v>
      </c>
      <c r="F167" s="17" t="s">
        <v>264</v>
      </c>
      <c r="G167" s="18" t="s">
        <v>265</v>
      </c>
      <c r="H167" s="17" t="s">
        <v>13</v>
      </c>
      <c r="I167" s="17" t="s">
        <v>181</v>
      </c>
      <c r="J167" s="17" t="s">
        <v>181</v>
      </c>
      <c r="K167" s="26"/>
    </row>
    <row r="168" spans="1:11" ht="16" x14ac:dyDescent="0.2">
      <c r="A168" s="16">
        <v>84</v>
      </c>
      <c r="B168" s="34">
        <v>43539</v>
      </c>
      <c r="C168" s="105">
        <v>37</v>
      </c>
      <c r="D168" s="17" t="str">
        <f>IF(C168=1,"Roßstr. 9",IF(C168=2,"Pfalzstr. 17",IF(C168=3,"Schlossstr. 19",IF(C168=4,"Neanderstr. 15",IF(C168=5,"Luisenstr. 3",IF(C168=6,"Lindenstr. 267",IF(C168=7,"Engerstr. 3",IF(C168=8,"Schützenstr. 20",IF(C168=9,"Stockkampstr. 47",IF(C168=10,"Driburgerstr. 8",IF(C168=11,"Kölnerstr. 261",IF(C168=12,"Merowingerstr. 17",IF(C168=13,"Borsigstr. 7",IF(C168=14,"Gerresheimer Landstr. 152",IF(C168=15,"Hoppengarten 15",IF(C168=16,"Hoppengarten 17",IF(C168=17,"Könerstr. 215",IF(C168=18,"Kölnerstr. 217",IF(C168=19,"Alte Bachstr. 25",IF(C168=20,"Kranzstr. 103",IF(C168=21,"Broicherdorfstr. 3",IF(C168=22,"Grafenberger Allee 235",IF(C168=23,"Börnestr. 2",IF(C168=24,"Angerbenden 31",IF(C168=25,"Koppelskamp 10",IF(C168=26,"Koppelskamp 12",IF(C168=27,"Koppelskamp 14",IF(C168=28,"Koppelskamp 8",IF(C168=29,"Bismarckstr. 109",IF(C168=30,"Memelstr. 43",IF(C168=31,"Angermunderstr. 30",IF(C168=32,"Koppelskamp 5",IF(C168=33,"Koppelskamp 5a",IF(C168=34,"Koppelskamp 7",IF(C168=35,"Lintorfer Waldstr. 6",IF(C168=36,"Lintorfer Waldstr. 8",IF(C168=37,"Lintorfer Waldstr. 10",IF(C168=38,"Koloniestr. 205",IF(C168=39,"Metzerstr. 28",IF(C168=40,"Metzerstr. 28a",IF(C168=41,"Spichernstr. 27",IF(C168=42,"Metzerstr. 17",IF(C168=43,"Neumühlerstr. 35",IF(C168=44,"Neumühlerstr. 37",IF(C168=45,"Neumühlerstr. 39",IF(C168=46,"Neumühlerstr. 41",IF(C168=47,"Mündelheimerstr. 3-5",IF(C168=48,"Mendelsohnstr. 3"))))))))))))))))))))))))))))))))))))))))))))))))</f>
        <v>Lintorfer Waldstr. 10</v>
      </c>
      <c r="E168" s="17" t="s">
        <v>379</v>
      </c>
      <c r="F168" s="17" t="s">
        <v>184</v>
      </c>
      <c r="G168" s="18" t="s">
        <v>996</v>
      </c>
      <c r="H168" s="17" t="s">
        <v>58</v>
      </c>
      <c r="I168" s="17" t="s">
        <v>928</v>
      </c>
      <c r="J168" s="17" t="s">
        <v>928</v>
      </c>
    </row>
    <row r="169" spans="1:11" ht="16" x14ac:dyDescent="0.2">
      <c r="A169" s="16">
        <v>84</v>
      </c>
      <c r="B169" s="34">
        <v>43171</v>
      </c>
      <c r="C169" s="105">
        <v>37</v>
      </c>
      <c r="D169" s="17" t="s">
        <v>182</v>
      </c>
      <c r="E169" s="17" t="s">
        <v>183</v>
      </c>
      <c r="F169" s="17" t="s">
        <v>184</v>
      </c>
      <c r="G169" s="18" t="s">
        <v>189</v>
      </c>
      <c r="H169" s="17" t="s">
        <v>13</v>
      </c>
      <c r="I169" s="17" t="s">
        <v>181</v>
      </c>
      <c r="J169" s="17" t="s">
        <v>181</v>
      </c>
    </row>
    <row r="170" spans="1:11" ht="16" x14ac:dyDescent="0.2">
      <c r="A170" s="16">
        <v>85</v>
      </c>
      <c r="B170" s="34">
        <v>43171</v>
      </c>
      <c r="C170" s="112">
        <v>2</v>
      </c>
      <c r="D170" s="114" t="s">
        <v>148</v>
      </c>
      <c r="E170" s="114" t="s">
        <v>60</v>
      </c>
      <c r="F170" s="114" t="s">
        <v>266</v>
      </c>
      <c r="G170" s="32" t="s">
        <v>267</v>
      </c>
      <c r="H170" s="114" t="s">
        <v>58</v>
      </c>
      <c r="I170" s="114" t="s">
        <v>14</v>
      </c>
      <c r="J170" s="17" t="s">
        <v>14</v>
      </c>
    </row>
    <row r="171" spans="1:11" ht="16" x14ac:dyDescent="0.2">
      <c r="A171" s="16">
        <v>85</v>
      </c>
      <c r="B171" s="34">
        <v>43539</v>
      </c>
      <c r="C171" s="105">
        <v>46</v>
      </c>
      <c r="D171" s="17" t="str">
        <f>IF(C171=1,"Roßstr. 9",IF(C171=2,"Pfalzstr. 17",IF(C171=3,"Schlossstr. 19",IF(C171=4,"Neanderstr. 15",IF(C171=5,"Luisenstr. 3",IF(C171=6,"Lindenstr. 267",IF(C171=7,"Engerstr. 3",IF(C171=8,"Schützenstr. 20",IF(C171=9,"Stockkampstr. 47",IF(C171=10,"Driburgerstr. 8",IF(C171=11,"Kölnerstr. 261",IF(C171=12,"Merowingerstr. 17",IF(C171=13,"Borsigstr. 7",IF(C171=14,"Gerresheimer Landstr. 152",IF(C171=15,"Hoppengarten 15",IF(C171=16,"Hoppengarten 17",IF(C171=17,"Könerstr. 215",IF(C171=18,"Kölnerstr. 217",IF(C171=19,"Alte Bachstr. 25",IF(C171=20,"Kranzstr. 103",IF(C171=21,"Broicherdorfstr. 3",IF(C171=22,"Grafenberger Allee 235",IF(C171=23,"Börnestr. 2",IF(C171=24,"Angerbenden 31",IF(C171=25,"Koppelskamp 10",IF(C171=26,"Koppelskamp 12",IF(C171=27,"Koppelskamp 14",IF(C171=28,"Koppelskamp 8",IF(C171=29,"Bismarckstr. 109",IF(C171=30,"Memelstr. 43",IF(C171=31,"Angermunderstr. 30",IF(C171=32,"Koppelskamp 5",IF(C171=33,"Koppelskamp 5a",IF(C171=34,"Koppelskamp 7",IF(C171=35,"Lintorfer Waldstr. 6",IF(C171=36,"Lintorfer Waldstr. 8",IF(C171=37,"Lintorfer Waldstr. 10",IF(C171=38,"Koloniestr. 205",IF(C171=39,"Metzerstr. 28",IF(C171=40,"Metzerstr. 28a",IF(C171=41,"Spichernstr. 27",IF(C171=42,"Metzerstr. 17",IF(C171=43,"Neumühlerstr. 35",IF(C171=44,"Neumühlerstr. 37",IF(C171=45,"Neumühlerstr. 39",IF(C171=46,"Neumühlerstr. 41",IF(C171=47,"Mündelheimerstr. 3-5",IF(C171=48,"Mendelsohnstr. 3"))))))))))))))))))))))))))))))))))))))))))))))))</f>
        <v>Neumühlerstr. 41</v>
      </c>
      <c r="E171" s="17"/>
      <c r="F171" s="17"/>
      <c r="G171" s="18" t="s">
        <v>997</v>
      </c>
      <c r="H171" s="17" t="s">
        <v>916</v>
      </c>
      <c r="I171" s="17" t="s">
        <v>929</v>
      </c>
      <c r="J171" s="17" t="s">
        <v>929</v>
      </c>
    </row>
    <row r="172" spans="1:11" ht="16" x14ac:dyDescent="0.2">
      <c r="A172" s="16">
        <v>86</v>
      </c>
      <c r="B172" s="34">
        <v>43542</v>
      </c>
      <c r="C172" s="105">
        <v>22</v>
      </c>
      <c r="D172" s="17" t="str">
        <f>IF(C172=1,"Roßstr. 9",IF(C172=2,"Pfalzstr. 17",IF(C172=3,"Schlossstr. 19",IF(C172=4,"Neanderstr. 15",IF(C172=5,"Luisenstr. 3",IF(C172=6,"Lindenstr. 267",IF(C172=7,"Engerstr. 3",IF(C172=8,"Schützenstr. 20",IF(C172=9,"Stockkampstr. 47",IF(C172=10,"Driburgerstr. 8",IF(C172=11,"Kölnerstr. 261",IF(C172=12,"Merowingerstr. 17",IF(C172=13,"Borsigstr. 7",IF(C172=14,"Gerresheimer Landstr. 152",IF(C172=15,"Hoppengarten 15",IF(C172=16,"Hoppengarten 17",IF(C172=17,"Könerstr. 215",IF(C172=18,"Kölnerstr. 217",IF(C172=19,"Alte Bachstr. 25",IF(C172=20,"Kranzstr. 103",IF(C172=21,"Broicherdorfstr. 3",IF(C172=22,"Grafenberger Allee 235",IF(C172=23,"Börnestr. 2",IF(C172=24,"Angerbenden 31",IF(C172=25,"Koppelskamp 10",IF(C172=26,"Koppelskamp 12",IF(C172=27,"Koppelskamp 14",IF(C172=28,"Koppelskamp 8",IF(C172=29,"Bismarckstr. 109",IF(C172=30,"Memelstr. 43",IF(C172=31,"Angermunderstr. 30",IF(C172=32,"Koppelskamp 5",IF(C172=33,"Koppelskamp 5a",IF(C172=34,"Koppelskamp 7",IF(C172=35,"Lintorfer Waldstr. 6",IF(C172=36,"Lintorfer Waldstr. 8",IF(C172=37,"Lintorfer Waldstr. 10",IF(C172=38,"Koloniestr. 205",IF(C172=39,"Metzerstr. 28",IF(C172=40,"Metzerstr. 28a",IF(C172=41,"Spichernstr. 27",IF(C172=42,"Metzerstr. 17",IF(C172=43,"Neumühlerstr. 35",IF(C172=44,"Neumühlerstr. 37",IF(C172=45,"Neumühlerstr. 39",IF(C172=46,"Neumühlerstr. 41",IF(C172=47,"Mündelheimerstr. 3-5",IF(C172=48,"Mendelsohnstr. 3"))))))))))))))))))))))))))))))))))))))))))))))))</f>
        <v>Grafenberger Allee 235</v>
      </c>
      <c r="E172" s="17" t="s">
        <v>740</v>
      </c>
      <c r="F172" s="17" t="s">
        <v>998</v>
      </c>
      <c r="G172" s="18" t="s">
        <v>999</v>
      </c>
      <c r="H172" s="17" t="s">
        <v>13</v>
      </c>
      <c r="I172" s="17" t="s">
        <v>14</v>
      </c>
      <c r="J172" s="17" t="s">
        <v>14</v>
      </c>
      <c r="K172" s="26"/>
    </row>
    <row r="173" spans="1:11" ht="16" x14ac:dyDescent="0.2">
      <c r="A173" s="16">
        <v>86</v>
      </c>
      <c r="B173" s="34">
        <v>43171</v>
      </c>
      <c r="C173" s="105">
        <v>46</v>
      </c>
      <c r="D173" s="17" t="s">
        <v>268</v>
      </c>
      <c r="E173" s="17" t="s">
        <v>269</v>
      </c>
      <c r="F173" s="17" t="s">
        <v>17</v>
      </c>
      <c r="G173" s="18" t="s">
        <v>61</v>
      </c>
      <c r="H173" s="17" t="s">
        <v>23</v>
      </c>
      <c r="I173" s="17" t="s">
        <v>14</v>
      </c>
      <c r="J173" s="17" t="s">
        <v>14</v>
      </c>
    </row>
    <row r="174" spans="1:11" ht="16" x14ac:dyDescent="0.2">
      <c r="A174" s="16">
        <v>87</v>
      </c>
      <c r="B174" s="34">
        <v>43543</v>
      </c>
      <c r="C174" s="105">
        <v>19</v>
      </c>
      <c r="D174" s="17" t="str">
        <f>IF(C174=1,"Roßstr. 9",IF(C174=2,"Pfalzstr. 17",IF(C174=3,"Schlossstr. 19",IF(C174=4,"Neanderstr. 15",IF(C174=5,"Luisenstr. 3",IF(C174=6,"Lindenstr. 267",IF(C174=7,"Engerstr. 3",IF(C174=8,"Schützenstr. 20",IF(C174=9,"Stockkampstr. 47",IF(C174=10,"Driburgerstr. 8",IF(C174=11,"Kölnerstr. 261",IF(C174=12,"Merowingerstr. 17",IF(C174=13,"Borsigstr. 7",IF(C174=14,"Gerresheimer Landstr. 152",IF(C174=15,"Hoppengarten 15",IF(C174=16,"Hoppengarten 17",IF(C174=17,"Könerstr. 215",IF(C174=18,"Kölnerstr. 217",IF(C174=19,"Alte Bachstr. 25",IF(C174=20,"Kranzstr. 103",IF(C174=21,"Broicherdorfstr. 3",IF(C174=22,"Grafenberger Allee 235",IF(C174=23,"Börnestr. 2",IF(C174=24,"Angerbenden 31",IF(C174=25,"Koppelskamp 10",IF(C174=26,"Koppelskamp 12",IF(C174=27,"Koppelskamp 14",IF(C174=28,"Koppelskamp 8",IF(C174=29,"Bismarckstr. 109",IF(C174=30,"Memelstr. 43",IF(C174=31,"Angermunderstr. 30",IF(C174=32,"Koppelskamp 5",IF(C174=33,"Koppelskamp 5a",IF(C174=34,"Koppelskamp 7",IF(C174=35,"Lintorfer Waldstr. 6",IF(C174=36,"Lintorfer Waldstr. 8",IF(C174=37,"Lintorfer Waldstr. 10",IF(C174=38,"Koloniestr. 205",IF(C174=39,"Metzerstr. 28",IF(C174=40,"Metzerstr. 28a",IF(C174=41,"Spichernstr. 27",IF(C174=42,"Metzerstr. 17",IF(C174=43,"Neumühlerstr. 35",IF(C174=44,"Neumühlerstr. 37",IF(C174=45,"Neumühlerstr. 39",IF(C174=46,"Neumühlerstr. 41",IF(C174=47,"Mündelheimerstr. 3-5",IF(C174=48,"Mendelsohnstr. 3"))))))))))))))))))))))))))))))))))))))))))))))))</f>
        <v>Alte Bachstr. 25</v>
      </c>
      <c r="E174" s="17" t="s">
        <v>36</v>
      </c>
      <c r="F174" s="17"/>
      <c r="G174" s="18" t="s">
        <v>1000</v>
      </c>
      <c r="H174" s="17" t="s">
        <v>13</v>
      </c>
      <c r="I174" s="38" t="s">
        <v>411</v>
      </c>
      <c r="J174" s="56" t="s">
        <v>411</v>
      </c>
    </row>
    <row r="175" spans="1:11" ht="16" x14ac:dyDescent="0.2">
      <c r="A175" s="16">
        <v>87</v>
      </c>
      <c r="B175" s="34">
        <v>43172</v>
      </c>
      <c r="C175" s="105">
        <v>12</v>
      </c>
      <c r="D175" s="17" t="s">
        <v>89</v>
      </c>
      <c r="E175" s="17" t="s">
        <v>270</v>
      </c>
      <c r="F175" s="17" t="s">
        <v>91</v>
      </c>
      <c r="G175" s="18" t="s">
        <v>271</v>
      </c>
      <c r="H175" s="17" t="s">
        <v>13</v>
      </c>
      <c r="I175" s="17" t="s">
        <v>272</v>
      </c>
      <c r="J175" s="17" t="s">
        <v>272</v>
      </c>
    </row>
    <row r="176" spans="1:11" ht="16" x14ac:dyDescent="0.2">
      <c r="A176" s="16">
        <v>88</v>
      </c>
      <c r="B176" s="34">
        <v>43543</v>
      </c>
      <c r="C176" s="105">
        <v>22</v>
      </c>
      <c r="D176" s="17" t="str">
        <f>IF(C176=1,"Roßstr. 9",IF(C176=2,"Pfalzstr. 17",IF(C176=3,"Schlossstr. 19",IF(C176=4,"Neanderstr. 15",IF(C176=5,"Luisenstr. 3",IF(C176=6,"Lindenstr. 267",IF(C176=7,"Engerstr. 3",IF(C176=8,"Schützenstr. 20",IF(C176=9,"Stockkampstr. 47",IF(C176=10,"Driburgerstr. 8",IF(C176=11,"Kölnerstr. 261",IF(C176=12,"Merowingerstr. 17",IF(C176=13,"Borsigstr. 7",IF(C176=14,"Gerresheimer Landstr. 152",IF(C176=15,"Hoppengarten 15",IF(C176=16,"Hoppengarten 17",IF(C176=17,"Könerstr. 215",IF(C176=18,"Kölnerstr. 217",IF(C176=19,"Alte Bachstr. 25",IF(C176=20,"Kranzstr. 103",IF(C176=21,"Broicherdorfstr. 3",IF(C176=22,"Grafenberger Allee 235",IF(C176=23,"Börnestr. 2",IF(C176=24,"Angerbenden 31",IF(C176=25,"Koppelskamp 10",IF(C176=26,"Koppelskamp 12",IF(C176=27,"Koppelskamp 14",IF(C176=28,"Koppelskamp 8",IF(C176=29,"Bismarckstr. 109",IF(C176=30,"Memelstr. 43",IF(C176=31,"Angermunderstr. 30",IF(C176=32,"Koppelskamp 5",IF(C176=33,"Koppelskamp 5a",IF(C176=34,"Koppelskamp 7",IF(C176=35,"Lintorfer Waldstr. 6",IF(C176=36,"Lintorfer Waldstr. 8",IF(C176=37,"Lintorfer Waldstr. 10",IF(C176=38,"Koloniestr. 205",IF(C176=39,"Metzerstr. 28",IF(C176=40,"Metzerstr. 28a",IF(C176=41,"Spichernstr. 27",IF(C176=42,"Metzerstr. 17",IF(C176=43,"Neumühlerstr. 35",IF(C176=44,"Neumühlerstr. 37",IF(C176=45,"Neumühlerstr. 39",IF(C176=46,"Neumühlerstr. 41",IF(C176=47,"Mündelheimerstr. 3-5",IF(C176=48,"Mendelsohnstr. 3"))))))))))))))))))))))))))))))))))))))))))))))))</f>
        <v>Grafenberger Allee 235</v>
      </c>
      <c r="E176" s="17" t="s">
        <v>36</v>
      </c>
      <c r="F176" s="17"/>
      <c r="G176" s="18" t="s">
        <v>70</v>
      </c>
      <c r="H176" s="17" t="s">
        <v>58</v>
      </c>
      <c r="I176" s="17" t="s">
        <v>14</v>
      </c>
      <c r="J176" s="17" t="s">
        <v>14</v>
      </c>
    </row>
    <row r="177" spans="1:10" ht="16" x14ac:dyDescent="0.2">
      <c r="A177" s="16">
        <v>88</v>
      </c>
      <c r="B177" s="34">
        <v>43173</v>
      </c>
      <c r="C177" s="105">
        <v>44</v>
      </c>
      <c r="D177" s="17" t="s">
        <v>75</v>
      </c>
      <c r="E177" s="17" t="s">
        <v>263</v>
      </c>
      <c r="F177" s="17" t="s">
        <v>273</v>
      </c>
      <c r="G177" s="18" t="s">
        <v>274</v>
      </c>
      <c r="H177" s="17" t="s">
        <v>13</v>
      </c>
      <c r="I177" s="17" t="s">
        <v>145</v>
      </c>
      <c r="J177" s="17" t="s">
        <v>145</v>
      </c>
    </row>
    <row r="178" spans="1:10" ht="16" x14ac:dyDescent="0.2">
      <c r="A178" s="16">
        <v>89</v>
      </c>
      <c r="B178" s="34">
        <v>43543</v>
      </c>
      <c r="C178" s="105">
        <v>34</v>
      </c>
      <c r="D178" s="17" t="str">
        <f>IF(C178=1,"Roßstr. 9",IF(C178=2,"Pfalzstr. 17",IF(C178=3,"Schlossstr. 19",IF(C178=4,"Neanderstr. 15",IF(C178=5,"Luisenstr. 3",IF(C178=6,"Lindenstr. 267",IF(C178=7,"Engerstr. 3",IF(C178=8,"Schützenstr. 20",IF(C178=9,"Stockkampstr. 47",IF(C178=10,"Driburgerstr. 8",IF(C178=11,"Kölnerstr. 261",IF(C178=12,"Merowingerstr. 17",IF(C178=13,"Borsigstr. 7",IF(C178=14,"Gerresheimer Landstr. 152",IF(C178=15,"Hoppengarten 15",IF(C178=16,"Hoppengarten 17",IF(C178=17,"Könerstr. 215",IF(C178=18,"Kölnerstr. 217",IF(C178=19,"Alte Bachstr. 25",IF(C178=20,"Kranzstr. 103",IF(C178=21,"Broicherdorfstr. 3",IF(C178=22,"Grafenberger Allee 235",IF(C178=23,"Börnestr. 2",IF(C178=24,"Angerbenden 31",IF(C178=25,"Koppelskamp 10",IF(C178=26,"Koppelskamp 12",IF(C178=27,"Koppelskamp 14",IF(C178=28,"Koppelskamp 8",IF(C178=29,"Bismarckstr. 109",IF(C178=30,"Memelstr. 43",IF(C178=31,"Angermunderstr. 30",IF(C178=32,"Koppelskamp 5",IF(C178=33,"Koppelskamp 5a",IF(C178=34,"Koppelskamp 7",IF(C178=35,"Lintorfer Waldstr. 6",IF(C178=36,"Lintorfer Waldstr. 8",IF(C178=37,"Lintorfer Waldstr. 10",IF(C178=38,"Koloniestr. 205",IF(C178=39,"Metzerstr. 28",IF(C178=40,"Metzerstr. 28a",IF(C178=41,"Spichernstr. 27",IF(C178=42,"Metzerstr. 17",IF(C178=43,"Neumühlerstr. 35",IF(C178=44,"Neumühlerstr. 37",IF(C178=45,"Neumühlerstr. 39",IF(C178=46,"Neumühlerstr. 41",IF(C178=47,"Mündelheimerstr. 3-5",IF(C178=48,"Mendelsohnstr. 3"))))))))))))))))))))))))))))))))))))))))))))))))</f>
        <v>Koppelskamp 7</v>
      </c>
      <c r="E178" s="17" t="s">
        <v>1001</v>
      </c>
      <c r="F178" s="17"/>
      <c r="G178" s="18" t="s">
        <v>1002</v>
      </c>
      <c r="H178" s="17" t="s">
        <v>58</v>
      </c>
      <c r="I178" s="17" t="s">
        <v>14</v>
      </c>
      <c r="J178" s="17" t="s">
        <v>14</v>
      </c>
    </row>
    <row r="179" spans="1:10" ht="16" x14ac:dyDescent="0.2">
      <c r="A179" s="108">
        <v>89</v>
      </c>
      <c r="B179" s="34">
        <v>43172</v>
      </c>
      <c r="C179" s="105">
        <v>47</v>
      </c>
      <c r="D179" s="17" t="s">
        <v>228</v>
      </c>
      <c r="E179" s="17" t="s">
        <v>275</v>
      </c>
      <c r="F179" s="17" t="s">
        <v>276</v>
      </c>
      <c r="G179" s="18" t="s">
        <v>277</v>
      </c>
      <c r="H179" s="17" t="s">
        <v>13</v>
      </c>
      <c r="I179" s="17" t="s">
        <v>232</v>
      </c>
      <c r="J179" s="17" t="s">
        <v>232</v>
      </c>
    </row>
    <row r="180" spans="1:10" ht="16" x14ac:dyDescent="0.2">
      <c r="A180" s="16">
        <v>90</v>
      </c>
      <c r="B180" s="34">
        <v>43173</v>
      </c>
      <c r="C180" s="105">
        <v>32</v>
      </c>
      <c r="D180" s="17" t="s">
        <v>278</v>
      </c>
      <c r="E180" s="17" t="s">
        <v>279</v>
      </c>
      <c r="F180" s="17" t="s">
        <v>181</v>
      </c>
      <c r="G180" s="18" t="s">
        <v>280</v>
      </c>
      <c r="H180" s="17" t="s">
        <v>13</v>
      </c>
      <c r="I180" s="17" t="s">
        <v>48</v>
      </c>
      <c r="J180" s="70" t="s">
        <v>38</v>
      </c>
    </row>
    <row r="181" spans="1:10" ht="16" x14ac:dyDescent="0.2">
      <c r="A181" s="16">
        <v>90</v>
      </c>
      <c r="B181" s="34">
        <v>43543</v>
      </c>
      <c r="C181" s="105">
        <v>18</v>
      </c>
      <c r="D181" s="17" t="str">
        <f>IF(C181=1,"Roßstr. 9",IF(C181=2,"Pfalzstr. 17",IF(C181=3,"Schlossstr. 19",IF(C181=4,"Neanderstr. 15",IF(C181=5,"Luisenstr. 3",IF(C181=6,"Lindenstr. 267",IF(C181=7,"Engerstr. 3",IF(C181=8,"Schützenstr. 20",IF(C181=9,"Stockkampstr. 47",IF(C181=10,"Driburgerstr. 8",IF(C181=11,"Kölnerstr. 261",IF(C181=12,"Merowingerstr. 17",IF(C181=13,"Borsigstr. 7",IF(C181=14,"Gerresheimer Landstr. 152",IF(C181=15,"Hoppengarten 15",IF(C181=16,"Hoppengarten 17",IF(C181=17,"Könerstr. 215",IF(C181=18,"Kölnerstr. 217",IF(C181=19,"Alte Bachstr. 25",IF(C181=20,"Kranzstr. 103",IF(C181=21,"Broicherdorfstr. 3",IF(C181=22,"Grafenberger Allee 235",IF(C181=23,"Börnestr. 2",IF(C181=24,"Angerbenden 31",IF(C181=25,"Koppelskamp 10",IF(C181=26,"Koppelskamp 12",IF(C181=27,"Koppelskamp 14",IF(C181=28,"Koppelskamp 8",IF(C181=29,"Bismarckstr. 109",IF(C181=30,"Memelstr. 43",IF(C181=31,"Angermunderstr. 30",IF(C181=32,"Koppelskamp 5",IF(C181=33,"Koppelskamp 5a",IF(C181=34,"Koppelskamp 7",IF(C181=35,"Lintorfer Waldstr. 6",IF(C181=36,"Lintorfer Waldstr. 8",IF(C181=37,"Lintorfer Waldstr. 10",IF(C181=38,"Koloniestr. 205",IF(C181=39,"Metzerstr. 28",IF(C181=40,"Metzerstr. 28a",IF(C181=41,"Spichernstr. 27",IF(C181=42,"Metzerstr. 17",IF(C181=43,"Neumühlerstr. 35",IF(C181=44,"Neumühlerstr. 37",IF(C181=45,"Neumühlerstr. 39",IF(C181=46,"Neumühlerstr. 41",IF(C181=47,"Mündelheimerstr. 3-5",IF(C181=48,"Mendelsohnstr. 3"))))))))))))))))))))))))))))))))))))))))))))))))</f>
        <v>Kölnerstr. 217</v>
      </c>
      <c r="E181" s="17" t="s">
        <v>149</v>
      </c>
      <c r="F181" s="17" t="s">
        <v>209</v>
      </c>
      <c r="G181" s="18" t="s">
        <v>294</v>
      </c>
      <c r="H181" s="17" t="s">
        <v>13</v>
      </c>
      <c r="I181" s="17" t="s">
        <v>181</v>
      </c>
      <c r="J181" s="17" t="s">
        <v>181</v>
      </c>
    </row>
    <row r="182" spans="1:10" ht="16" x14ac:dyDescent="0.2">
      <c r="A182" s="108">
        <v>91</v>
      </c>
      <c r="B182" s="34">
        <v>43173</v>
      </c>
      <c r="C182" s="105">
        <v>26</v>
      </c>
      <c r="D182" s="17" t="s">
        <v>110</v>
      </c>
      <c r="E182" s="17" t="s">
        <v>263</v>
      </c>
      <c r="F182" s="17" t="s">
        <v>281</v>
      </c>
      <c r="G182" s="18" t="s">
        <v>282</v>
      </c>
      <c r="H182" s="17" t="s">
        <v>13</v>
      </c>
      <c r="I182" s="17" t="s">
        <v>181</v>
      </c>
      <c r="J182" s="17" t="s">
        <v>181</v>
      </c>
    </row>
    <row r="183" spans="1:10" ht="16" x14ac:dyDescent="0.2">
      <c r="A183" s="16">
        <v>91</v>
      </c>
      <c r="B183" s="34">
        <v>43543</v>
      </c>
      <c r="C183" s="105">
        <v>2</v>
      </c>
      <c r="D183" s="17" t="str">
        <f>IF(C183=1,"Roßstr. 9",IF(C183=2,"Pfalzstr. 17",IF(C183=3,"Schlossstr. 19",IF(C183=4,"Neanderstr. 15",IF(C183=5,"Luisenstr. 3",IF(C183=6,"Lindenstr. 267",IF(C183=7,"Engerstr. 3",IF(C183=8,"Schützenstr. 20",IF(C183=9,"Stockkampstr. 47",IF(C183=10,"Driburgerstr. 8",IF(C183=11,"Kölnerstr. 261",IF(C183=12,"Merowingerstr. 17",IF(C183=13,"Borsigstr. 7",IF(C183=14,"Gerresheimer Landstr. 152",IF(C183=15,"Hoppengarten 15",IF(C183=16,"Hoppengarten 17",IF(C183=17,"Könerstr. 215",IF(C183=18,"Kölnerstr. 217",IF(C183=19,"Alte Bachstr. 25",IF(C183=20,"Kranzstr. 103",IF(C183=21,"Broicherdorfstr. 3",IF(C183=22,"Grafenberger Allee 235",IF(C183=23,"Börnestr. 2",IF(C183=24,"Angerbenden 31",IF(C183=25,"Koppelskamp 10",IF(C183=26,"Koppelskamp 12",IF(C183=27,"Koppelskamp 14",IF(C183=28,"Koppelskamp 8",IF(C183=29,"Bismarckstr. 109",IF(C183=30,"Memelstr. 43",IF(C183=31,"Angermunderstr. 30",IF(C183=32,"Koppelskamp 5",IF(C183=33,"Koppelskamp 5a",IF(C183=34,"Koppelskamp 7",IF(C183=35,"Lintorfer Waldstr. 6",IF(C183=36,"Lintorfer Waldstr. 8",IF(C183=37,"Lintorfer Waldstr. 10",IF(C183=38,"Koloniestr. 205",IF(C183=39,"Metzerstr. 28",IF(C183=40,"Metzerstr. 28a",IF(C183=41,"Spichernstr. 27",IF(C183=42,"Metzerstr. 17",IF(C183=43,"Neumühlerstr. 35",IF(C183=44,"Neumühlerstr. 37",IF(C183=45,"Neumühlerstr. 39",IF(C183=46,"Neumühlerstr. 41",IF(C183=47,"Mündelheimerstr. 3-5",IF(C183=48,"Mendelsohnstr. 3"))))))))))))))))))))))))))))))))))))))))))))))))</f>
        <v>Pfalzstr. 17</v>
      </c>
      <c r="E183" s="17" t="s">
        <v>43</v>
      </c>
      <c r="F183" s="17"/>
      <c r="G183" s="18" t="s">
        <v>1003</v>
      </c>
      <c r="H183" s="17" t="s">
        <v>13</v>
      </c>
      <c r="I183" s="38" t="s">
        <v>706</v>
      </c>
      <c r="J183" s="38" t="s">
        <v>706</v>
      </c>
    </row>
    <row r="184" spans="1:10" ht="16" x14ac:dyDescent="0.2">
      <c r="A184" s="16">
        <v>92</v>
      </c>
      <c r="B184" s="34">
        <v>43544</v>
      </c>
      <c r="C184" s="105">
        <v>39</v>
      </c>
      <c r="D184" s="17" t="str">
        <f>IF(C184=1,"Roßstr. 9",IF(C184=2,"Pfalzstr. 17",IF(C184=3,"Schlossstr. 19",IF(C184=4,"Neanderstr. 15",IF(C184=5,"Luisenstr. 3",IF(C184=6,"Lindenstr. 267",IF(C184=7,"Engerstr. 3",IF(C184=8,"Schützenstr. 20",IF(C184=9,"Stockkampstr. 47",IF(C184=10,"Driburgerstr. 8",IF(C184=11,"Kölnerstr. 261",IF(C184=12,"Merowingerstr. 17",IF(C184=13,"Borsigstr. 7",IF(C184=14,"Gerresheimer Landstr. 152",IF(C184=15,"Hoppengarten 15",IF(C184=16,"Hoppengarten 17",IF(C184=17,"Könerstr. 215",IF(C184=18,"Kölnerstr. 217",IF(C184=19,"Alte Bachstr. 25",IF(C184=20,"Kranzstr. 103",IF(C184=21,"Broicherdorfstr. 3",IF(C184=22,"Grafenberger Allee 235",IF(C184=23,"Börnestr. 2",IF(C184=24,"Angerbenden 31",IF(C184=25,"Koppelskamp 10",IF(C184=26,"Koppelskamp 12",IF(C184=27,"Koppelskamp 14",IF(C184=28,"Koppelskamp 8",IF(C184=29,"Bismarckstr. 109",IF(C184=30,"Memelstr. 43",IF(C184=31,"Angermunderstr. 30",IF(C184=32,"Koppelskamp 5",IF(C184=33,"Koppelskamp 5a",IF(C184=34,"Koppelskamp 7",IF(C184=35,"Lintorfer Waldstr. 6",IF(C184=36,"Lintorfer Waldstr. 8",IF(C184=37,"Lintorfer Waldstr. 10",IF(C184=38,"Koloniestr. 205",IF(C184=39,"Metzerstr. 28",IF(C184=40,"Metzerstr. 28a",IF(C184=41,"Spichernstr. 27",IF(C184=42,"Metzerstr. 17",IF(C184=43,"Neumühlerstr. 35",IF(C184=44,"Neumühlerstr. 37",IF(C184=45,"Neumühlerstr. 39",IF(C184=46,"Neumühlerstr. 41",IF(C184=47,"Mündelheimerstr. 3-5",IF(C184=48,"Mendelsohnstr. 3"))))))))))))))))))))))))))))))))))))))))))))))))</f>
        <v>Metzerstr. 28</v>
      </c>
      <c r="E184" s="17" t="s">
        <v>467</v>
      </c>
      <c r="F184" s="17" t="s">
        <v>1004</v>
      </c>
      <c r="G184" s="18" t="s">
        <v>1005</v>
      </c>
      <c r="H184" s="17" t="s">
        <v>13</v>
      </c>
      <c r="I184" s="17" t="s">
        <v>14</v>
      </c>
      <c r="J184" s="17" t="s">
        <v>14</v>
      </c>
    </row>
    <row r="185" spans="1:10" ht="48" x14ac:dyDescent="0.2">
      <c r="A185" s="16">
        <v>92</v>
      </c>
      <c r="B185" s="34">
        <v>43178</v>
      </c>
      <c r="C185" s="105">
        <v>6</v>
      </c>
      <c r="D185" s="17" t="s">
        <v>283</v>
      </c>
      <c r="E185" s="17"/>
      <c r="F185" s="17"/>
      <c r="G185" s="18" t="s">
        <v>284</v>
      </c>
      <c r="H185" s="17" t="s">
        <v>23</v>
      </c>
      <c r="I185" s="17" t="s">
        <v>181</v>
      </c>
      <c r="J185" s="17" t="s">
        <v>181</v>
      </c>
    </row>
    <row r="186" spans="1:10" ht="16" x14ac:dyDescent="0.2">
      <c r="A186" s="16">
        <v>93</v>
      </c>
      <c r="B186" s="34">
        <v>43546</v>
      </c>
      <c r="C186" s="105">
        <v>33</v>
      </c>
      <c r="D186" s="17" t="str">
        <f>IF(C186=1,"Roßstr. 9",IF(C186=2,"Pfalzstr. 17",IF(C186=3,"Schlossstr. 19",IF(C186=4,"Neanderstr. 15",IF(C186=5,"Luisenstr. 3",IF(C186=6,"Lindenstr. 267",IF(C186=7,"Engerstr. 3",IF(C186=8,"Schützenstr. 20",IF(C186=9,"Stockkampstr. 47",IF(C186=10,"Driburgerstr. 8",IF(C186=11,"Kölnerstr. 261",IF(C186=12,"Merowingerstr. 17",IF(C186=13,"Borsigstr. 7",IF(C186=14,"Gerresheimer Landstr. 152",IF(C186=15,"Hoppengarten 15",IF(C186=16,"Hoppengarten 17",IF(C186=17,"Könerstr. 215",IF(C186=18,"Kölnerstr. 217",IF(C186=19,"Alte Bachstr. 25",IF(C186=20,"Kranzstr. 103",IF(C186=21,"Broicherdorfstr. 3",IF(C186=22,"Grafenberger Allee 235",IF(C186=23,"Börnestr. 2",IF(C186=24,"Angerbenden 31",IF(C186=25,"Koppelskamp 10",IF(C186=26,"Koppelskamp 12",IF(C186=27,"Koppelskamp 14",IF(C186=28,"Koppelskamp 8",IF(C186=29,"Bismarckstr. 109",IF(C186=30,"Memelstr. 43",IF(C186=31,"Angermunderstr. 30",IF(C186=32,"Koppelskamp 5",IF(C186=33,"Koppelskamp 5a",IF(C186=34,"Koppelskamp 7",IF(C186=35,"Lintorfer Waldstr. 6",IF(C186=36,"Lintorfer Waldstr. 8",IF(C186=37,"Lintorfer Waldstr. 10",IF(C186=38,"Koloniestr. 205",IF(C186=39,"Metzerstr. 28",IF(C186=40,"Metzerstr. 28a",IF(C186=41,"Spichernstr. 27",IF(C186=42,"Metzerstr. 17",IF(C186=43,"Neumühlerstr. 35",IF(C186=44,"Neumühlerstr. 37",IF(C186=45,"Neumühlerstr. 39",IF(C186=46,"Neumühlerstr. 41",IF(C186=47,"Mündelheimerstr. 3-5",IF(C186=48,"Mendelsohnstr. 3"))))))))))))))))))))))))))))))))))))))))))))))))</f>
        <v>Koppelskamp 5a</v>
      </c>
      <c r="E186" s="17" t="s">
        <v>523</v>
      </c>
      <c r="F186" s="17"/>
      <c r="G186" s="18" t="s">
        <v>1006</v>
      </c>
      <c r="H186" s="17" t="s">
        <v>13</v>
      </c>
      <c r="I186" s="17" t="s">
        <v>14</v>
      </c>
      <c r="J186" s="17" t="s">
        <v>14</v>
      </c>
    </row>
    <row r="187" spans="1:10" ht="16" x14ac:dyDescent="0.2">
      <c r="A187" s="16">
        <v>93</v>
      </c>
      <c r="B187" s="34">
        <v>43178</v>
      </c>
      <c r="C187" s="105">
        <v>44</v>
      </c>
      <c r="D187" s="17" t="s">
        <v>285</v>
      </c>
      <c r="E187" s="17" t="s">
        <v>64</v>
      </c>
      <c r="F187" s="17" t="s">
        <v>286</v>
      </c>
      <c r="G187" s="18" t="s">
        <v>287</v>
      </c>
      <c r="H187" s="17" t="s">
        <v>23</v>
      </c>
      <c r="I187" s="17" t="s">
        <v>30</v>
      </c>
      <c r="J187" s="17" t="s">
        <v>30</v>
      </c>
    </row>
    <row r="188" spans="1:10" ht="16" x14ac:dyDescent="0.2">
      <c r="A188" s="16">
        <v>94</v>
      </c>
      <c r="B188" s="34">
        <v>43180</v>
      </c>
      <c r="C188" s="105">
        <v>19</v>
      </c>
      <c r="D188" s="17" t="s">
        <v>35</v>
      </c>
      <c r="E188" s="17" t="s">
        <v>288</v>
      </c>
      <c r="F188" s="17" t="s">
        <v>289</v>
      </c>
      <c r="G188" s="18" t="s">
        <v>290</v>
      </c>
      <c r="H188" s="17" t="s">
        <v>13</v>
      </c>
      <c r="I188" s="17" t="s">
        <v>14</v>
      </c>
      <c r="J188" s="17" t="s">
        <v>14</v>
      </c>
    </row>
    <row r="189" spans="1:10" ht="16" x14ac:dyDescent="0.2">
      <c r="A189" s="16">
        <v>94</v>
      </c>
      <c r="B189" s="34">
        <v>43546</v>
      </c>
      <c r="C189" s="105">
        <v>19</v>
      </c>
      <c r="D189" s="17" t="str">
        <f>IF(C189=1,"Roßstr. 9",IF(C189=2,"Pfalzstr. 17",IF(C189=3,"Schlossstr. 19",IF(C189=4,"Neanderstr. 15",IF(C189=5,"Luisenstr. 3",IF(C189=6,"Lindenstr. 267",IF(C189=7,"Engerstr. 3",IF(C189=8,"Schützenstr. 20",IF(C189=9,"Stockkampstr. 47",IF(C189=10,"Driburgerstr. 8",IF(C189=11,"Kölnerstr. 261",IF(C189=12,"Merowingerstr. 17",IF(C189=13,"Borsigstr. 7",IF(C189=14,"Gerresheimer Landstr. 152",IF(C189=15,"Hoppengarten 15",IF(C189=16,"Hoppengarten 17",IF(C189=17,"Könerstr. 215",IF(C189=18,"Kölnerstr. 217",IF(C189=19,"Alte Bachstr. 25",IF(C189=20,"Kranzstr. 103",IF(C189=21,"Broicherdorfstr. 3",IF(C189=22,"Grafenberger Allee 235",IF(C189=23,"Börnestr. 2",IF(C189=24,"Angerbenden 31",IF(C189=25,"Koppelskamp 10",IF(C189=26,"Koppelskamp 12",IF(C189=27,"Koppelskamp 14",IF(C189=28,"Koppelskamp 8",IF(C189=29,"Bismarckstr. 109",IF(C189=30,"Memelstr. 43",IF(C189=31,"Angermunderstr. 30",IF(C189=32,"Koppelskamp 5",IF(C189=33,"Koppelskamp 5a",IF(C189=34,"Koppelskamp 7",IF(C189=35,"Lintorfer Waldstr. 6",IF(C189=36,"Lintorfer Waldstr. 8",IF(C189=37,"Lintorfer Waldstr. 10",IF(C189=38,"Koloniestr. 205",IF(C189=39,"Metzerstr. 28",IF(C189=40,"Metzerstr. 28a",IF(C189=41,"Spichernstr. 27",IF(C189=42,"Metzerstr. 17",IF(C189=43,"Neumühlerstr. 35",IF(C189=44,"Neumühlerstr. 37",IF(C189=45,"Neumühlerstr. 39",IF(C189=46,"Neumühlerstr. 41",IF(C189=47,"Mündelheimerstr. 3-5",IF(C189=48,"Mendelsohnstr. 3"))))))))))))))))))))))))))))))))))))))))))))))))</f>
        <v>Alte Bachstr. 25</v>
      </c>
      <c r="E189" s="17" t="s">
        <v>1007</v>
      </c>
      <c r="F189" s="17" t="s">
        <v>17</v>
      </c>
      <c r="G189" s="18" t="s">
        <v>1008</v>
      </c>
      <c r="H189" s="17" t="s">
        <v>13</v>
      </c>
      <c r="I189" s="17" t="s">
        <v>917</v>
      </c>
      <c r="J189" s="17" t="s">
        <v>119</v>
      </c>
    </row>
    <row r="190" spans="1:10" ht="16" x14ac:dyDescent="0.2">
      <c r="A190" s="16">
        <v>95</v>
      </c>
      <c r="B190" s="34">
        <v>43181</v>
      </c>
      <c r="C190" s="105">
        <v>7</v>
      </c>
      <c r="D190" s="17" t="s">
        <v>55</v>
      </c>
      <c r="E190" s="17" t="s">
        <v>291</v>
      </c>
      <c r="F190" s="17"/>
      <c r="G190" s="18" t="s">
        <v>292</v>
      </c>
      <c r="H190" s="17" t="s">
        <v>23</v>
      </c>
      <c r="I190" s="17" t="s">
        <v>14</v>
      </c>
      <c r="J190" s="17" t="s">
        <v>14</v>
      </c>
    </row>
    <row r="191" spans="1:10" ht="16" x14ac:dyDescent="0.2">
      <c r="A191" s="16">
        <v>95</v>
      </c>
      <c r="B191" s="34">
        <v>43546</v>
      </c>
      <c r="C191" s="105">
        <v>2</v>
      </c>
      <c r="D191" s="17" t="str">
        <f>IF(C191=1,"Roßstr. 9",IF(C191=2,"Pfalzstr. 17",IF(C191=3,"Schlossstr. 19",IF(C191=4,"Neanderstr. 15",IF(C191=5,"Luisenstr. 3",IF(C191=6,"Lindenstr. 267",IF(C191=7,"Engerstr. 3",IF(C191=8,"Schützenstr. 20",IF(C191=9,"Stockkampstr. 47",IF(C191=10,"Driburgerstr. 8",IF(C191=11,"Kölnerstr. 261",IF(C191=12,"Merowingerstr. 17",IF(C191=13,"Borsigstr. 7",IF(C191=14,"Gerresheimer Landstr. 152",IF(C191=15,"Hoppengarten 15",IF(C191=16,"Hoppengarten 17",IF(C191=17,"Könerstr. 215",IF(C191=18,"Kölnerstr. 217",IF(C191=19,"Alte Bachstr. 25",IF(C191=20,"Kranzstr. 103",IF(C191=21,"Broicherdorfstr. 3",IF(C191=22,"Grafenberger Allee 235",IF(C191=23,"Börnestr. 2",IF(C191=24,"Angerbenden 31",IF(C191=25,"Koppelskamp 10",IF(C191=26,"Koppelskamp 12",IF(C191=27,"Koppelskamp 14",IF(C191=28,"Koppelskamp 8",IF(C191=29,"Bismarckstr. 109",IF(C191=30,"Memelstr. 43",IF(C191=31,"Angermunderstr. 30",IF(C191=32,"Koppelskamp 5",IF(C191=33,"Koppelskamp 5a",IF(C191=34,"Koppelskamp 7",IF(C191=35,"Lintorfer Waldstr. 6",IF(C191=36,"Lintorfer Waldstr. 8",IF(C191=37,"Lintorfer Waldstr. 10",IF(C191=38,"Koloniestr. 205",IF(C191=39,"Metzerstr. 28",IF(C191=40,"Metzerstr. 28a",IF(C191=41,"Spichernstr. 27",IF(C191=42,"Metzerstr. 17",IF(C191=43,"Neumühlerstr. 35",IF(C191=44,"Neumühlerstr. 37",IF(C191=45,"Neumühlerstr. 39",IF(C191=46,"Neumühlerstr. 41",IF(C191=47,"Mündelheimerstr. 3-5",IF(C191=48,"Mendelsohnstr. 3"))))))))))))))))))))))))))))))))))))))))))))))))</f>
        <v>Pfalzstr. 17</v>
      </c>
      <c r="E191" s="17" t="s">
        <v>16</v>
      </c>
      <c r="F191" s="17" t="s">
        <v>1009</v>
      </c>
      <c r="G191" s="18" t="s">
        <v>1010</v>
      </c>
      <c r="H191" s="17" t="s">
        <v>13</v>
      </c>
      <c r="I191" s="17" t="s">
        <v>19</v>
      </c>
      <c r="J191" s="17" t="s">
        <v>19</v>
      </c>
    </row>
    <row r="192" spans="1:10" ht="16" x14ac:dyDescent="0.2">
      <c r="A192" s="16">
        <v>96</v>
      </c>
      <c r="B192" s="34">
        <v>43187</v>
      </c>
      <c r="C192" s="105">
        <v>2</v>
      </c>
      <c r="D192" s="17" t="s">
        <v>148</v>
      </c>
      <c r="E192" s="17" t="s">
        <v>138</v>
      </c>
      <c r="F192" s="17" t="s">
        <v>250</v>
      </c>
      <c r="G192" s="18" t="s">
        <v>293</v>
      </c>
      <c r="H192" s="17" t="s">
        <v>13</v>
      </c>
      <c r="I192" s="17" t="s">
        <v>14</v>
      </c>
      <c r="J192" s="17" t="s">
        <v>14</v>
      </c>
    </row>
    <row r="193" spans="1:12" ht="16" x14ac:dyDescent="0.2">
      <c r="A193" s="16">
        <v>96</v>
      </c>
      <c r="B193" s="34">
        <v>43549</v>
      </c>
      <c r="C193" s="105">
        <v>19</v>
      </c>
      <c r="D193" s="17" t="str">
        <f>IF(C193=1,"Roßstr. 9",IF(C193=2,"Pfalzstr. 17",IF(C193=3,"Schlossstr. 19",IF(C193=4,"Neanderstr. 15",IF(C193=5,"Luisenstr. 3",IF(C193=6,"Lindenstr. 267",IF(C193=7,"Engerstr. 3",IF(C193=8,"Schützenstr. 20",IF(C193=9,"Stockkampstr. 47",IF(C193=10,"Driburgerstr. 8",IF(C193=11,"Kölnerstr. 261",IF(C193=12,"Merowingerstr. 17",IF(C193=13,"Borsigstr. 7",IF(C193=14,"Gerresheimer Landstr. 152",IF(C193=15,"Hoppengarten 15",IF(C193=16,"Hoppengarten 17",IF(C193=17,"Könerstr. 215",IF(C193=18,"Kölnerstr. 217",IF(C193=19,"Alte Bachstr. 25",IF(C193=20,"Kranzstr. 103",IF(C193=21,"Broicherdorfstr. 3",IF(C193=22,"Grafenberger Allee 235",IF(C193=23,"Börnestr. 2",IF(C193=24,"Angerbenden 31",IF(C193=25,"Koppelskamp 10",IF(C193=26,"Koppelskamp 12",IF(C193=27,"Koppelskamp 14",IF(C193=28,"Koppelskamp 8",IF(C193=29,"Bismarckstr. 109",IF(C193=30,"Memelstr. 43",IF(C193=31,"Angermunderstr. 30",IF(C193=32,"Koppelskamp 5",IF(C193=33,"Koppelskamp 5a",IF(C193=34,"Koppelskamp 7",IF(C193=35,"Lintorfer Waldstr. 6",IF(C193=36,"Lintorfer Waldstr. 8",IF(C193=37,"Lintorfer Waldstr. 10",IF(C193=38,"Koloniestr. 205",IF(C193=39,"Metzerstr. 28",IF(C193=40,"Metzerstr. 28a",IF(C193=41,"Spichernstr. 27",IF(C193=42,"Metzerstr. 17",IF(C193=43,"Neumühlerstr. 35",IF(C193=44,"Neumühlerstr. 37",IF(C193=45,"Neumühlerstr. 39",IF(C193=46,"Neumühlerstr. 41",IF(C193=47,"Mündelheimerstr. 3-5",IF(C193=48,"Mendelsohnstr. 3"))))))))))))))))))))))))))))))))))))))))))))))))</f>
        <v>Alte Bachstr. 25</v>
      </c>
      <c r="E193" s="17" t="s">
        <v>1011</v>
      </c>
      <c r="F193" s="17"/>
      <c r="G193" s="18" t="s">
        <v>1012</v>
      </c>
      <c r="H193" s="17" t="s">
        <v>13</v>
      </c>
      <c r="I193" s="17" t="s">
        <v>920</v>
      </c>
      <c r="J193" s="17" t="s">
        <v>920</v>
      </c>
    </row>
    <row r="194" spans="1:12" ht="16" x14ac:dyDescent="0.2">
      <c r="A194" s="16">
        <v>97</v>
      </c>
      <c r="B194" s="34">
        <v>43188</v>
      </c>
      <c r="C194" s="105">
        <v>38</v>
      </c>
      <c r="D194" s="17" t="s">
        <v>171</v>
      </c>
      <c r="E194" s="17" t="s">
        <v>178</v>
      </c>
      <c r="F194" s="17" t="s">
        <v>108</v>
      </c>
      <c r="G194" s="18" t="s">
        <v>294</v>
      </c>
      <c r="H194" s="17" t="s">
        <v>13</v>
      </c>
      <c r="I194" s="17" t="s">
        <v>145</v>
      </c>
      <c r="J194" s="17" t="s">
        <v>145</v>
      </c>
    </row>
    <row r="195" spans="1:12" ht="16" x14ac:dyDescent="0.2">
      <c r="A195" s="16">
        <v>97</v>
      </c>
      <c r="B195" s="34">
        <v>43549</v>
      </c>
      <c r="C195" s="105">
        <v>9</v>
      </c>
      <c r="D195" s="17" t="str">
        <f>IF(C195=1,"Roßstr. 9",IF(C195=2,"Pfalzstr. 17",IF(C195=3,"Schlossstr. 19",IF(C195=4,"Neanderstr. 15",IF(C195=5,"Luisenstr. 3",IF(C195=6,"Lindenstr. 267",IF(C195=7,"Engerstr. 3",IF(C195=8,"Schützenstr. 20",IF(C195=9,"Stockkampstr. 47",IF(C195=10,"Driburgerstr. 8",IF(C195=11,"Kölnerstr. 261",IF(C195=12,"Merowingerstr. 17",IF(C195=13,"Borsigstr. 7",IF(C195=14,"Gerresheimer Landstr. 152",IF(C195=15,"Hoppengarten 15",IF(C195=16,"Hoppengarten 17",IF(C195=17,"Könerstr. 215",IF(C195=18,"Kölnerstr. 217",IF(C195=19,"Alte Bachstr. 25",IF(C195=20,"Kranzstr. 103",IF(C195=21,"Broicherdorfstr. 3",IF(C195=22,"Grafenberger Allee 235",IF(C195=23,"Börnestr. 2",IF(C195=24,"Angerbenden 31",IF(C195=25,"Koppelskamp 10",IF(C195=26,"Koppelskamp 12",IF(C195=27,"Koppelskamp 14",IF(C195=28,"Koppelskamp 8",IF(C195=29,"Bismarckstr. 109",IF(C195=30,"Memelstr. 43",IF(C195=31,"Angermunderstr. 30",IF(C195=32,"Koppelskamp 5",IF(C195=33,"Koppelskamp 5a",IF(C195=34,"Koppelskamp 7",IF(C195=35,"Lintorfer Waldstr. 6",IF(C195=36,"Lintorfer Waldstr. 8",IF(C195=37,"Lintorfer Waldstr. 10",IF(C195=38,"Koloniestr. 205",IF(C195=39,"Metzerstr. 28",IF(C195=40,"Metzerstr. 28a",IF(C195=41,"Spichernstr. 27",IF(C195=42,"Metzerstr. 17",IF(C195=43,"Neumühlerstr. 35",IF(C195=44,"Neumühlerstr. 37",IF(C195=45,"Neumühlerstr. 39",IF(C195=46,"Neumühlerstr. 41",IF(C195=47,"Mündelheimerstr. 3-5",IF(C195=48,"Mendelsohnstr. 3"))))))))))))))))))))))))))))))))))))))))))))))))</f>
        <v>Stockkampstr. 47</v>
      </c>
      <c r="E195" s="17" t="s">
        <v>693</v>
      </c>
      <c r="F195" s="17" t="s">
        <v>797</v>
      </c>
      <c r="G195" s="18" t="s">
        <v>1013</v>
      </c>
      <c r="H195" s="17" t="s">
        <v>13</v>
      </c>
      <c r="I195" s="38" t="s">
        <v>19</v>
      </c>
      <c r="J195" s="38" t="s">
        <v>19</v>
      </c>
    </row>
    <row r="196" spans="1:12" ht="16" x14ac:dyDescent="0.2">
      <c r="A196" s="16">
        <v>98</v>
      </c>
      <c r="B196" s="34">
        <v>43188</v>
      </c>
      <c r="C196" s="105">
        <v>3</v>
      </c>
      <c r="D196" s="17" t="s">
        <v>295</v>
      </c>
      <c r="E196" s="17" t="s">
        <v>16</v>
      </c>
      <c r="F196" s="17" t="s">
        <v>17</v>
      </c>
      <c r="G196" s="18" t="s">
        <v>296</v>
      </c>
      <c r="H196" s="17" t="s">
        <v>13</v>
      </c>
      <c r="I196" s="17" t="s">
        <v>297</v>
      </c>
      <c r="J196" s="17" t="s">
        <v>298</v>
      </c>
    </row>
    <row r="197" spans="1:12" ht="16" x14ac:dyDescent="0.2">
      <c r="A197" s="16">
        <v>98</v>
      </c>
      <c r="B197" s="34">
        <v>43537</v>
      </c>
      <c r="C197" s="105">
        <v>9</v>
      </c>
      <c r="D197" s="17" t="str">
        <f>IF(C197=1,"Roßstr. 9",IF(C197=2,"Pfalzstr. 17",IF(C197=3,"Schlossstr. 19",IF(C197=4,"Neanderstr. 15",IF(C197=5,"Luisenstr. 3",IF(C197=6,"Lindenstr. 267",IF(C197=7,"Engerstr. 3",IF(C197=8,"Schützenstr. 20",IF(C197=9,"Stockkampstr. 47",IF(C197=10,"Driburgerstr. 8",IF(C197=11,"Kölnerstr. 261",IF(C197=12,"Merowingerstr. 17",IF(C197=13,"Borsigstr. 7",IF(C197=14,"Gerresheimer Landstr. 152",IF(C197=15,"Hoppengarten 15",IF(C197=16,"Hoppengarten 17",IF(C197=17,"Könerstr. 215",IF(C197=18,"Kölnerstr. 217",IF(C197=19,"Alte Bachstr. 25",IF(C197=20,"Kranzstr. 103",IF(C197=21,"Broicherdorfstr. 3",IF(C197=22,"Grafenberger Allee 235",IF(C197=23,"Börnestr. 2",IF(C197=24,"Angerbenden 31",IF(C197=25,"Koppelskamp 10",IF(C197=26,"Koppelskamp 12",IF(C197=27,"Koppelskamp 14",IF(C197=28,"Koppelskamp 8",IF(C197=29,"Bismarckstr. 109",IF(C197=30,"Memelstr. 43",IF(C197=31,"Angermunderstr. 30",IF(C197=32,"Koppelskamp 5",IF(C197=33,"Koppelskamp 5a",IF(C197=34,"Koppelskamp 7",IF(C197=35,"Lintorfer Waldstr. 6",IF(C197=36,"Lintorfer Waldstr. 8",IF(C197=37,"Lintorfer Waldstr. 10",IF(C197=38,"Koloniestr. 205",IF(C197=39,"Metzerstr. 28",IF(C197=40,"Metzerstr. 28a",IF(C197=41,"Spichernstr. 27",IF(C197=42,"Metzerstr. 17",IF(C197=43,"Neumühlerstr. 35",IF(C197=44,"Neumühlerstr. 37",IF(C197=45,"Neumühlerstr. 39",IF(C197=46,"Neumühlerstr. 41",IF(C197=47,"Mündelheimerstr. 3-5",IF(C197=48,"Mendelsohnstr. 3"))))))))))))))))))))))))))))))))))))))))))))))))</f>
        <v>Stockkampstr. 47</v>
      </c>
      <c r="E197" s="17" t="s">
        <v>740</v>
      </c>
      <c r="F197" s="17" t="s">
        <v>1014</v>
      </c>
      <c r="G197" s="18" t="s">
        <v>294</v>
      </c>
      <c r="H197" s="17" t="s">
        <v>119</v>
      </c>
      <c r="I197" s="17" t="s">
        <v>181</v>
      </c>
      <c r="J197" s="17" t="s">
        <v>181</v>
      </c>
      <c r="K197" s="24"/>
      <c r="L197" s="25"/>
    </row>
    <row r="198" spans="1:12" ht="16" x14ac:dyDescent="0.2">
      <c r="A198" s="16">
        <v>99</v>
      </c>
      <c r="B198" s="34">
        <v>43188</v>
      </c>
      <c r="C198" s="105">
        <v>3</v>
      </c>
      <c r="D198" s="17" t="s">
        <v>295</v>
      </c>
      <c r="E198" s="17" t="s">
        <v>16</v>
      </c>
      <c r="F198" s="17" t="s">
        <v>17</v>
      </c>
      <c r="G198" s="18" t="s">
        <v>29</v>
      </c>
      <c r="H198" s="17" t="s">
        <v>13</v>
      </c>
      <c r="I198" s="17" t="s">
        <v>48</v>
      </c>
      <c r="J198" s="17" t="s">
        <v>48</v>
      </c>
    </row>
    <row r="199" spans="1:12" ht="16" x14ac:dyDescent="0.2">
      <c r="A199" s="16">
        <v>99</v>
      </c>
      <c r="B199" s="34">
        <v>43545</v>
      </c>
      <c r="C199" s="105">
        <v>46</v>
      </c>
      <c r="D199" s="17" t="str">
        <f>IF(C199=1,"Roßstr. 9",IF(C199=2,"Pfalzstr. 17",IF(C199=3,"Schlossstr. 19",IF(C199=4,"Neanderstr. 15",IF(C199=5,"Luisenstr. 3",IF(C199=6,"Lindenstr. 267",IF(C199=7,"Engerstr. 3",IF(C199=8,"Schützenstr. 20",IF(C199=9,"Stockkampstr. 47",IF(C199=10,"Driburgerstr. 8",IF(C199=11,"Kölnerstr. 261",IF(C199=12,"Merowingerstr. 17",IF(C199=13,"Borsigstr. 7",IF(C199=14,"Gerresheimer Landstr. 152",IF(C199=15,"Hoppengarten 15",IF(C199=16,"Hoppengarten 17",IF(C199=17,"Könerstr. 215",IF(C199=18,"Kölnerstr. 217",IF(C199=19,"Alte Bachstr. 25",IF(C199=20,"Kranzstr. 103",IF(C199=21,"Broicherdorfstr. 3",IF(C199=22,"Grafenberger Allee 235",IF(C199=23,"Börnestr. 2",IF(C199=24,"Angerbenden 31",IF(C199=25,"Koppelskamp 10",IF(C199=26,"Koppelskamp 12",IF(C199=27,"Koppelskamp 14",IF(C199=28,"Koppelskamp 8",IF(C199=29,"Bismarckstr. 109",IF(C199=30,"Memelstr. 43",IF(C199=31,"Angermunderstr. 30",IF(C199=32,"Koppelskamp 5",IF(C199=33,"Koppelskamp 5a",IF(C199=34,"Koppelskamp 7",IF(C199=35,"Lintorfer Waldstr. 6",IF(C199=36,"Lintorfer Waldstr. 8",IF(C199=37,"Lintorfer Waldstr. 10",IF(C199=38,"Koloniestr. 205",IF(C199=39,"Metzerstr. 28",IF(C199=40,"Metzerstr. 28a",IF(C199=41,"Spichernstr. 27",IF(C199=42,"Metzerstr. 17",IF(C199=43,"Neumühlerstr. 35",IF(C199=44,"Neumühlerstr. 37",IF(C199=45,"Neumühlerstr. 39",IF(C199=46,"Neumühlerstr. 41",IF(C199=47,"Mündelheimerstr. 3-5",IF(C199=48,"Mendelsohnstr. 3"))))))))))))))))))))))))))))))))))))))))))))))))</f>
        <v>Neumühlerstr. 41</v>
      </c>
      <c r="E199" s="17" t="s">
        <v>352</v>
      </c>
      <c r="F199" s="17"/>
      <c r="G199" s="18" t="s">
        <v>635</v>
      </c>
      <c r="H199" s="17" t="s">
        <v>13</v>
      </c>
      <c r="I199" s="17" t="s">
        <v>76</v>
      </c>
      <c r="J199" s="17" t="s">
        <v>76</v>
      </c>
    </row>
    <row r="200" spans="1:12" ht="16" x14ac:dyDescent="0.2">
      <c r="A200" s="16">
        <v>100</v>
      </c>
      <c r="B200" s="34">
        <v>43193</v>
      </c>
      <c r="C200" s="105">
        <v>12</v>
      </c>
      <c r="D200" s="17" t="s">
        <v>89</v>
      </c>
      <c r="E200" s="17" t="s">
        <v>299</v>
      </c>
      <c r="F200" s="17" t="s">
        <v>17</v>
      </c>
      <c r="G200" s="18" t="s">
        <v>300</v>
      </c>
      <c r="H200" s="17" t="s">
        <v>23</v>
      </c>
      <c r="I200" s="17" t="s">
        <v>14</v>
      </c>
      <c r="J200" s="17" t="s">
        <v>14</v>
      </c>
    </row>
    <row r="201" spans="1:12" ht="16" x14ac:dyDescent="0.2">
      <c r="A201" s="16">
        <v>100</v>
      </c>
      <c r="B201" s="34">
        <v>43550</v>
      </c>
      <c r="C201" s="105">
        <v>41</v>
      </c>
      <c r="D201" s="17" t="str">
        <f>IF(C201=1,"Roßstr. 9",IF(C201=2,"Pfalzstr. 17",IF(C201=3,"Schlossstr. 19",IF(C201=4,"Neanderstr. 15",IF(C201=5,"Luisenstr. 3",IF(C201=6,"Lindenstr. 267",IF(C201=7,"Engerstr. 3",IF(C201=8,"Schützenstr. 20",IF(C201=9,"Stockkampstr. 47",IF(C201=10,"Driburgerstr. 8",IF(C201=11,"Kölnerstr. 261",IF(C201=12,"Merowingerstr. 17",IF(C201=13,"Borsigstr. 7",IF(C201=14,"Gerresheimer Landstr. 152",IF(C201=15,"Hoppengarten 15",IF(C201=16,"Hoppengarten 17",IF(C201=17,"Könerstr. 215",IF(C201=18,"Kölnerstr. 217",IF(C201=19,"Alte Bachstr. 25",IF(C201=20,"Kranzstr. 103",IF(C201=21,"Broicherdorfstr. 3",IF(C201=22,"Grafenberger Allee 235",IF(C201=23,"Börnestr. 2",IF(C201=24,"Angerbenden 31",IF(C201=25,"Koppelskamp 10",IF(C201=26,"Koppelskamp 12",IF(C201=27,"Koppelskamp 14",IF(C201=28,"Koppelskamp 8",IF(C201=29,"Bismarckstr. 109",IF(C201=30,"Memelstr. 43",IF(C201=31,"Angermunderstr. 30",IF(C201=32,"Koppelskamp 5",IF(C201=33,"Koppelskamp 5a",IF(C201=34,"Koppelskamp 7",IF(C201=35,"Lintorfer Waldstr. 6",IF(C201=36,"Lintorfer Waldstr. 8",IF(C201=37,"Lintorfer Waldstr. 10",IF(C201=38,"Koloniestr. 205",IF(C201=39,"Metzerstr. 28",IF(C201=40,"Metzerstr. 28a",IF(C201=41,"Spichernstr. 27",IF(C201=42,"Metzerstr. 17",IF(C201=43,"Neumühlerstr. 35",IF(C201=44,"Neumühlerstr. 37",IF(C201=45,"Neumühlerstr. 39",IF(C201=46,"Neumühlerstr. 41",IF(C201=47,"Mündelheimerstr. 3-5",IF(C201=48,"Mendelsohnstr. 3"))))))))))))))))))))))))))))))))))))))))))))))))</f>
        <v>Spichernstr. 27</v>
      </c>
      <c r="E201" s="17" t="s">
        <v>16</v>
      </c>
      <c r="F201" s="17" t="s">
        <v>1015</v>
      </c>
      <c r="G201" s="18" t="s">
        <v>1016</v>
      </c>
      <c r="H201" s="17" t="s">
        <v>13</v>
      </c>
      <c r="I201" s="17" t="s">
        <v>30</v>
      </c>
      <c r="J201" s="17" t="s">
        <v>30</v>
      </c>
    </row>
    <row r="202" spans="1:12" ht="16" x14ac:dyDescent="0.2">
      <c r="A202" s="16">
        <v>101</v>
      </c>
      <c r="B202" s="34">
        <v>43193</v>
      </c>
      <c r="C202" s="105">
        <v>2</v>
      </c>
      <c r="D202" s="17" t="s">
        <v>148</v>
      </c>
      <c r="E202" s="17" t="s">
        <v>138</v>
      </c>
      <c r="F202" s="17" t="s">
        <v>250</v>
      </c>
      <c r="G202" s="18" t="s">
        <v>301</v>
      </c>
      <c r="H202" s="17" t="s">
        <v>13</v>
      </c>
      <c r="I202" s="17" t="s">
        <v>19</v>
      </c>
      <c r="J202" s="71" t="s">
        <v>38</v>
      </c>
      <c r="K202" s="43"/>
    </row>
    <row r="203" spans="1:12" ht="16" x14ac:dyDescent="0.2">
      <c r="A203" s="16">
        <v>101</v>
      </c>
      <c r="B203" s="34">
        <v>43551</v>
      </c>
      <c r="C203" s="105">
        <v>37</v>
      </c>
      <c r="D203" s="17" t="str">
        <f>IF(C203=1,"Roßstr. 9",IF(C203=2,"Pfalzstr. 17",IF(C203=3,"Schlossstr. 19",IF(C203=4,"Neanderstr. 15",IF(C203=5,"Luisenstr. 3",IF(C203=6,"Lindenstr. 267",IF(C203=7,"Engerstr. 3",IF(C203=8,"Schützenstr. 20",IF(C203=9,"Stockkampstr. 47",IF(C203=10,"Driburgerstr. 8",IF(C203=11,"Kölnerstr. 261",IF(C203=12,"Merowingerstr. 17",IF(C203=13,"Borsigstr. 7",IF(C203=14,"Gerresheimer Landstr. 152",IF(C203=15,"Hoppengarten 15",IF(C203=16,"Hoppengarten 17",IF(C203=17,"Könerstr. 215",IF(C203=18,"Kölnerstr. 217",IF(C203=19,"Alte Bachstr. 25",IF(C203=20,"Kranzstr. 103",IF(C203=21,"Broicherdorfstr. 3",IF(C203=22,"Grafenberger Allee 235",IF(C203=23,"Börnestr. 2",IF(C203=24,"Angerbenden 31",IF(C203=25,"Koppelskamp 10",IF(C203=26,"Koppelskamp 12",IF(C203=27,"Koppelskamp 14",IF(C203=28,"Koppelskamp 8",IF(C203=29,"Bismarckstr. 109",IF(C203=30,"Memelstr. 43",IF(C203=31,"Angermunderstr. 30",IF(C203=32,"Koppelskamp 5",IF(C203=33,"Koppelskamp 5a",IF(C203=34,"Koppelskamp 7",IF(C203=35,"Lintorfer Waldstr. 6",IF(C203=36,"Lintorfer Waldstr. 8",IF(C203=37,"Lintorfer Waldstr. 10",IF(C203=38,"Koloniestr. 205",IF(C203=39,"Metzerstr. 28",IF(C203=40,"Metzerstr. 28a",IF(C203=41,"Spichernstr. 27",IF(C203=42,"Metzerstr. 17",IF(C203=43,"Neumühlerstr. 35",IF(C203=44,"Neumühlerstr. 37",IF(C203=45,"Neumühlerstr. 39",IF(C203=46,"Neumühlerstr. 41",IF(C203=47,"Mündelheimerstr. 3-5",IF(C203=48,"Mendelsohnstr. 3"))))))))))))))))))))))))))))))))))))))))))))))))</f>
        <v>Lintorfer Waldstr. 10</v>
      </c>
      <c r="E203" s="17" t="s">
        <v>637</v>
      </c>
      <c r="F203" s="17" t="s">
        <v>184</v>
      </c>
      <c r="G203" s="18" t="s">
        <v>1017</v>
      </c>
      <c r="H203" s="17" t="s">
        <v>13</v>
      </c>
      <c r="I203" s="29" t="s">
        <v>1018</v>
      </c>
      <c r="J203" s="21" t="s">
        <v>1018</v>
      </c>
    </row>
    <row r="204" spans="1:12" ht="16" x14ac:dyDescent="0.2">
      <c r="A204" s="16">
        <v>102</v>
      </c>
      <c r="B204" s="34">
        <v>43551</v>
      </c>
      <c r="C204" s="105">
        <v>24</v>
      </c>
      <c r="D204" s="17" t="str">
        <f>IF(C204=1,"Roßstr. 9",IF(C204=2,"Pfalzstr. 17",IF(C204=3,"Schlossstr. 19",IF(C204=4,"Neanderstr. 15",IF(C204=5,"Luisenstr. 3",IF(C204=6,"Lindenstr. 267",IF(C204=7,"Engerstr. 3",IF(C204=8,"Schützenstr. 20",IF(C204=9,"Stockkampstr. 47",IF(C204=10,"Driburgerstr. 8",IF(C204=11,"Kölnerstr. 261",IF(C204=12,"Merowingerstr. 17",IF(C204=13,"Borsigstr. 7",IF(C204=14,"Gerresheimer Landstr. 152",IF(C204=15,"Hoppengarten 15",IF(C204=16,"Hoppengarten 17",IF(C204=17,"Könerstr. 215",IF(C204=18,"Kölnerstr. 217",IF(C204=19,"Alte Bachstr. 25",IF(C204=20,"Kranzstr. 103",IF(C204=21,"Broicherdorfstr. 3",IF(C204=22,"Grafenberger Allee 235",IF(C204=23,"Börnestr. 2",IF(C204=24,"Angerbenden 31",IF(C204=25,"Koppelskamp 10",IF(C204=26,"Koppelskamp 12",IF(C204=27,"Koppelskamp 14",IF(C204=28,"Koppelskamp 8",IF(C204=29,"Bismarckstr. 109",IF(C204=30,"Memelstr. 43",IF(C204=31,"Angermunderstr. 30",IF(C204=32,"Koppelskamp 5",IF(C204=33,"Koppelskamp 5a",IF(C204=34,"Koppelskamp 7",IF(C204=35,"Lintorfer Waldstr. 6",IF(C204=36,"Lintorfer Waldstr. 8",IF(C204=37,"Lintorfer Waldstr. 10",IF(C204=38,"Koloniestr. 205",IF(C204=39,"Metzerstr. 28",IF(C204=40,"Metzerstr. 28a",IF(C204=41,"Spichernstr. 27",IF(C204=42,"Metzerstr. 17",IF(C204=43,"Neumühlerstr. 35",IF(C204=44,"Neumühlerstr. 37",IF(C204=45,"Neumühlerstr. 39",IF(C204=46,"Neumühlerstr. 41",IF(C204=47,"Mündelheimerstr. 3-5",IF(C204=48,"Mendelsohnstr. 3"))))))))))))))))))))))))))))))))))))))))))))))))</f>
        <v>Angerbenden 31</v>
      </c>
      <c r="E204" s="17" t="s">
        <v>138</v>
      </c>
      <c r="F204" s="17" t="s">
        <v>159</v>
      </c>
      <c r="G204" s="18" t="s">
        <v>1019</v>
      </c>
      <c r="H204" s="17" t="s">
        <v>13</v>
      </c>
      <c r="I204" s="17" t="s">
        <v>30</v>
      </c>
      <c r="J204" s="21" t="s">
        <v>967</v>
      </c>
    </row>
    <row r="205" spans="1:12" ht="16" x14ac:dyDescent="0.2">
      <c r="A205" s="16">
        <v>102</v>
      </c>
      <c r="B205" s="34">
        <v>43194</v>
      </c>
      <c r="C205" s="105">
        <v>37</v>
      </c>
      <c r="D205" s="17" t="s">
        <v>182</v>
      </c>
      <c r="E205" s="17" t="s">
        <v>202</v>
      </c>
      <c r="F205" s="17" t="s">
        <v>302</v>
      </c>
      <c r="G205" s="18" t="s">
        <v>303</v>
      </c>
      <c r="H205" s="17" t="s">
        <v>13</v>
      </c>
      <c r="I205" s="21" t="s">
        <v>119</v>
      </c>
      <c r="J205" s="21" t="s">
        <v>119</v>
      </c>
    </row>
    <row r="206" spans="1:12" ht="16" x14ac:dyDescent="0.2">
      <c r="A206" s="16">
        <v>103</v>
      </c>
      <c r="B206" s="34">
        <v>43553</v>
      </c>
      <c r="C206" s="105">
        <v>15</v>
      </c>
      <c r="D206" s="17" t="str">
        <f>IF(C206=1,"Roßstr. 9",IF(C206=2,"Pfalzstr. 17",IF(C206=3,"Schlossstr. 19",IF(C206=4,"Neanderstr. 15",IF(C206=5,"Luisenstr. 3",IF(C206=6,"Lindenstr. 267",IF(C206=7,"Engerstr. 3",IF(C206=8,"Schützenstr. 20",IF(C206=9,"Stockkampstr. 47",IF(C206=10,"Driburgerstr. 8",IF(C206=11,"Kölnerstr. 261",IF(C206=12,"Merowingerstr. 17",IF(C206=13,"Borsigstr. 7",IF(C206=14,"Gerresheimer Landstr. 152",IF(C206=15,"Hoppengarten 15",IF(C206=16,"Hoppengarten 17",IF(C206=17,"Könerstr. 215",IF(C206=18,"Kölnerstr. 217",IF(C206=19,"Alte Bachstr. 25",IF(C206=20,"Kranzstr. 103",IF(C206=21,"Broicherdorfstr. 3",IF(C206=22,"Grafenberger Allee 235",IF(C206=23,"Börnestr. 2",IF(C206=24,"Angerbenden 31",IF(C206=25,"Koppelskamp 10",IF(C206=26,"Koppelskamp 12",IF(C206=27,"Koppelskamp 14",IF(C206=28,"Koppelskamp 8",IF(C206=29,"Bismarckstr. 109",IF(C206=30,"Memelstr. 43",IF(C206=31,"Angermunderstr. 30",IF(C206=32,"Koppelskamp 5",IF(C206=33,"Koppelskamp 5a",IF(C206=34,"Koppelskamp 7",IF(C206=35,"Lintorfer Waldstr. 6",IF(C206=36,"Lintorfer Waldstr. 8",IF(C206=37,"Lintorfer Waldstr. 10",IF(C206=38,"Koloniestr. 205",IF(C206=39,"Metzerstr. 28",IF(C206=40,"Metzerstr. 28a",IF(C206=41,"Spichernstr. 27",IF(C206=42,"Metzerstr. 17",IF(C206=43,"Neumühlerstr. 35",IF(C206=44,"Neumühlerstr. 37",IF(C206=45,"Neumühlerstr. 39",IF(C206=46,"Neumühlerstr. 41",IF(C206=47,"Mündelheimerstr. 3-5",IF(C206=48,"Mendelsohnstr. 3"))))))))))))))))))))))))))))))))))))))))))))))))</f>
        <v>Hoppengarten 15</v>
      </c>
      <c r="E206" s="17" t="s">
        <v>766</v>
      </c>
      <c r="F206" s="17" t="s">
        <v>552</v>
      </c>
      <c r="G206" s="18" t="s">
        <v>1020</v>
      </c>
      <c r="H206" s="17" t="s">
        <v>58</v>
      </c>
      <c r="I206" s="17" t="s">
        <v>48</v>
      </c>
      <c r="J206" s="17" t="s">
        <v>48</v>
      </c>
    </row>
    <row r="207" spans="1:12" ht="16" x14ac:dyDescent="0.2">
      <c r="A207" s="16">
        <v>103</v>
      </c>
      <c r="B207" s="34">
        <v>43195</v>
      </c>
      <c r="C207" s="105">
        <v>25</v>
      </c>
      <c r="D207" s="17" t="s">
        <v>128</v>
      </c>
      <c r="E207" s="17" t="s">
        <v>129</v>
      </c>
      <c r="F207" s="17" t="s">
        <v>304</v>
      </c>
      <c r="G207" s="18" t="s">
        <v>305</v>
      </c>
      <c r="H207" s="17" t="s">
        <v>23</v>
      </c>
      <c r="I207" s="17" t="s">
        <v>306</v>
      </c>
      <c r="J207" s="17" t="s">
        <v>119</v>
      </c>
    </row>
    <row r="208" spans="1:12" ht="16" x14ac:dyDescent="0.2">
      <c r="A208" s="16">
        <v>104</v>
      </c>
      <c r="B208" s="34">
        <v>43553</v>
      </c>
      <c r="C208" s="105">
        <v>32</v>
      </c>
      <c r="D208" s="17" t="str">
        <f>IF(C208=1,"Roßstr. 9",IF(C208=2,"Pfalzstr. 17",IF(C208=3,"Schlossstr. 19",IF(C208=4,"Neanderstr. 15",IF(C208=5,"Luisenstr. 3",IF(C208=6,"Lindenstr. 267",IF(C208=7,"Engerstr. 3",IF(C208=8,"Schützenstr. 20",IF(C208=9,"Stockkampstr. 47",IF(C208=10,"Driburgerstr. 8",IF(C208=11,"Kölnerstr. 261",IF(C208=12,"Merowingerstr. 17",IF(C208=13,"Borsigstr. 7",IF(C208=14,"Gerresheimer Landstr. 152",IF(C208=15,"Hoppengarten 15",IF(C208=16,"Hoppengarten 17",IF(C208=17,"Könerstr. 215",IF(C208=18,"Kölnerstr. 217",IF(C208=19,"Alte Bachstr. 25",IF(C208=20,"Kranzstr. 103",IF(C208=21,"Broicherdorfstr. 3",IF(C208=22,"Grafenberger Allee 235",IF(C208=23,"Börnestr. 2",IF(C208=24,"Angerbenden 31",IF(C208=25,"Koppelskamp 10",IF(C208=26,"Koppelskamp 12",IF(C208=27,"Koppelskamp 14",IF(C208=28,"Koppelskamp 8",IF(C208=29,"Bismarckstr. 109",IF(C208=30,"Memelstr. 43",IF(C208=31,"Angermunderstr. 30",IF(C208=32,"Koppelskamp 5",IF(C208=33,"Koppelskamp 5a",IF(C208=34,"Koppelskamp 7",IF(C208=35,"Lintorfer Waldstr. 6",IF(C208=36,"Lintorfer Waldstr. 8",IF(C208=37,"Lintorfer Waldstr. 10",IF(C208=38,"Koloniestr. 205",IF(C208=39,"Metzerstr. 28",IF(C208=40,"Metzerstr. 28a",IF(C208=41,"Spichernstr. 27",IF(C208=42,"Metzerstr. 17",IF(C208=43,"Neumühlerstr. 35",IF(C208=44,"Neumühlerstr. 37",IF(C208=45,"Neumühlerstr. 39",IF(C208=46,"Neumühlerstr. 41",IF(C208=47,"Mündelheimerstr. 3-5",IF(C208=48,"Mendelsohnstr. 3"))))))))))))))))))))))))))))))))))))))))))))))))</f>
        <v>Koppelskamp 5</v>
      </c>
      <c r="E208" s="17" t="s">
        <v>138</v>
      </c>
      <c r="F208" s="17" t="s">
        <v>1021</v>
      </c>
      <c r="G208" s="18" t="s">
        <v>1022</v>
      </c>
      <c r="H208" s="17" t="s">
        <v>13</v>
      </c>
      <c r="I208" s="17" t="s">
        <v>19</v>
      </c>
      <c r="J208" s="17" t="s">
        <v>19</v>
      </c>
      <c r="K208" s="26"/>
    </row>
    <row r="209" spans="1:11" ht="16" x14ac:dyDescent="0.2">
      <c r="A209" s="16">
        <v>104</v>
      </c>
      <c r="B209" s="34">
        <v>43153</v>
      </c>
      <c r="C209" s="105">
        <v>25</v>
      </c>
      <c r="D209" s="17" t="s">
        <v>128</v>
      </c>
      <c r="E209" s="17" t="s">
        <v>129</v>
      </c>
      <c r="F209" s="17" t="s">
        <v>17</v>
      </c>
      <c r="G209" s="18" t="s">
        <v>307</v>
      </c>
      <c r="H209" s="17" t="s">
        <v>13</v>
      </c>
      <c r="I209" s="17" t="s">
        <v>136</v>
      </c>
      <c r="J209" s="17" t="s">
        <v>136</v>
      </c>
      <c r="K209" s="26"/>
    </row>
    <row r="210" spans="1:11" ht="16" x14ac:dyDescent="0.2">
      <c r="A210" s="16">
        <v>105</v>
      </c>
      <c r="B210" s="34">
        <v>43196</v>
      </c>
      <c r="C210" s="105">
        <v>32</v>
      </c>
      <c r="D210" s="17" t="s">
        <v>39</v>
      </c>
      <c r="E210" s="17" t="s">
        <v>86</v>
      </c>
      <c r="F210" s="17" t="s">
        <v>308</v>
      </c>
      <c r="G210" s="18" t="s">
        <v>309</v>
      </c>
      <c r="H210" s="17" t="s">
        <v>13</v>
      </c>
      <c r="I210" s="17" t="s">
        <v>14</v>
      </c>
      <c r="J210" s="17" t="s">
        <v>114</v>
      </c>
      <c r="K210" s="26"/>
    </row>
    <row r="211" spans="1:11" ht="16" x14ac:dyDescent="0.2">
      <c r="A211" s="16">
        <v>105</v>
      </c>
      <c r="B211" s="34">
        <v>43553</v>
      </c>
      <c r="C211" s="105">
        <v>27</v>
      </c>
      <c r="D211" s="17" t="str">
        <f>IF(C211=1,"Roßstr. 9",IF(C211=2,"Pfalzstr. 17",IF(C211=3,"Schlossstr. 19",IF(C211=4,"Neanderstr. 15",IF(C211=5,"Luisenstr. 3",IF(C211=6,"Lindenstr. 267",IF(C211=7,"Engerstr. 3",IF(C211=8,"Schützenstr. 20",IF(C211=9,"Stockkampstr. 47",IF(C211=10,"Driburgerstr. 8",IF(C211=11,"Kölnerstr. 261",IF(C211=12,"Merowingerstr. 17",IF(C211=13,"Borsigstr. 7",IF(C211=14,"Gerresheimer Landstr. 152",IF(C211=15,"Hoppengarten 15",IF(C211=16,"Hoppengarten 17",IF(C211=17,"Könerstr. 215",IF(C211=18,"Kölnerstr. 217",IF(C211=19,"Alte Bachstr. 25",IF(C211=20,"Kranzstr. 103",IF(C211=21,"Broicherdorfstr. 3",IF(C211=22,"Grafenberger Allee 235",IF(C211=23,"Börnestr. 2",IF(C211=24,"Angerbenden 31",IF(C211=25,"Koppelskamp 10",IF(C211=26,"Koppelskamp 12",IF(C211=27,"Koppelskamp 14",IF(C211=28,"Koppelskamp 8",IF(C211=29,"Bismarckstr. 109",IF(C211=30,"Memelstr. 43",IF(C211=31,"Angermunderstr. 30",IF(C211=32,"Koppelskamp 5",IF(C211=33,"Koppelskamp 5a",IF(C211=34,"Koppelskamp 7",IF(C211=35,"Lintorfer Waldstr. 6",IF(C211=36,"Lintorfer Waldstr. 8",IF(C211=37,"Lintorfer Waldstr. 10",IF(C211=38,"Koloniestr. 205",IF(C211=39,"Metzerstr. 28",IF(C211=40,"Metzerstr. 28a",IF(C211=41,"Spichernstr. 27",IF(C211=42,"Metzerstr. 17",IF(C211=43,"Neumühlerstr. 35",IF(C211=44,"Neumühlerstr. 37",IF(C211=45,"Neumühlerstr. 39",IF(C211=46,"Neumühlerstr. 41",IF(C211=47,"Mündelheimerstr. 3-5",IF(C211=48,"Mendelsohnstr. 3"))))))))))))))))))))))))))))))))))))))))))))))))</f>
        <v>Koppelskamp 14</v>
      </c>
      <c r="E211" s="17" t="s">
        <v>36</v>
      </c>
      <c r="F211" s="17"/>
      <c r="G211" s="18" t="s">
        <v>1023</v>
      </c>
      <c r="H211" s="17" t="s">
        <v>13</v>
      </c>
      <c r="I211" s="17" t="s">
        <v>14</v>
      </c>
      <c r="J211" s="17" t="s">
        <v>1024</v>
      </c>
    </row>
    <row r="212" spans="1:11" ht="16" x14ac:dyDescent="0.2">
      <c r="A212" s="16">
        <v>106</v>
      </c>
      <c r="B212" s="34">
        <v>43196</v>
      </c>
      <c r="C212" s="105">
        <v>7</v>
      </c>
      <c r="D212" s="17" t="s">
        <v>55</v>
      </c>
      <c r="E212" s="17" t="s">
        <v>10</v>
      </c>
      <c r="F212" s="17" t="s">
        <v>310</v>
      </c>
      <c r="G212" s="18" t="s">
        <v>311</v>
      </c>
      <c r="H212" s="17" t="s">
        <v>13</v>
      </c>
      <c r="I212" s="29" t="s">
        <v>312</v>
      </c>
      <c r="J212" s="29" t="s">
        <v>312</v>
      </c>
    </row>
    <row r="213" spans="1:11" ht="16" x14ac:dyDescent="0.2">
      <c r="A213" s="16">
        <v>106</v>
      </c>
      <c r="B213" s="34">
        <v>43553</v>
      </c>
      <c r="C213" s="105">
        <v>15</v>
      </c>
      <c r="D213" s="17" t="str">
        <f>IF(C213=1,"Roßstr. 9",IF(C213=2,"Pfalzstr. 17",IF(C213=3,"Schlossstr. 19",IF(C213=4,"Neanderstr. 15",IF(C213=5,"Luisenstr. 3",IF(C213=6,"Lindenstr. 267",IF(C213=7,"Engerstr. 3",IF(C213=8,"Schützenstr. 20",IF(C213=9,"Stockkampstr. 47",IF(C213=10,"Driburgerstr. 8",IF(C213=11,"Kölnerstr. 261",IF(C213=12,"Merowingerstr. 17",IF(C213=13,"Borsigstr. 7",IF(C213=14,"Gerresheimer Landstr. 152",IF(C213=15,"Hoppengarten 15",IF(C213=16,"Hoppengarten 17",IF(C213=17,"Könerstr. 215",IF(C213=18,"Kölnerstr. 217",IF(C213=19,"Alte Bachstr. 25",IF(C213=20,"Kranzstr. 103",IF(C213=21,"Broicherdorfstr. 3",IF(C213=22,"Grafenberger Allee 235",IF(C213=23,"Börnestr. 2",IF(C213=24,"Angerbenden 31",IF(C213=25,"Koppelskamp 10",IF(C213=26,"Koppelskamp 12",IF(C213=27,"Koppelskamp 14",IF(C213=28,"Koppelskamp 8",IF(C213=29,"Bismarckstr. 109",IF(C213=30,"Memelstr. 43",IF(C213=31,"Angermunderstr. 30",IF(C213=32,"Koppelskamp 5",IF(C213=33,"Koppelskamp 5a",IF(C213=34,"Koppelskamp 7",IF(C213=35,"Lintorfer Waldstr. 6",IF(C213=36,"Lintorfer Waldstr. 8",IF(C213=37,"Lintorfer Waldstr. 10",IF(C213=38,"Koloniestr. 205",IF(C213=39,"Metzerstr. 28",IF(C213=40,"Metzerstr. 28a",IF(C213=41,"Spichernstr. 27",IF(C213=42,"Metzerstr. 17",IF(C213=43,"Neumühlerstr. 35",IF(C213=44,"Neumühlerstr. 37",IF(C213=45,"Neumühlerstr. 39",IF(C213=46,"Neumühlerstr. 41",IF(C213=47,"Mündelheimerstr. 3-5",IF(C213=48,"Mendelsohnstr. 3"))))))))))))))))))))))))))))))))))))))))))))))))</f>
        <v>Hoppengarten 15</v>
      </c>
      <c r="E213" s="17" t="s">
        <v>43</v>
      </c>
      <c r="F213" s="17"/>
      <c r="G213" s="18" t="s">
        <v>1025</v>
      </c>
      <c r="H213" s="17" t="s">
        <v>13</v>
      </c>
      <c r="I213" s="21" t="s">
        <v>763</v>
      </c>
      <c r="J213" s="21" t="s">
        <v>763</v>
      </c>
    </row>
    <row r="214" spans="1:11" ht="16" x14ac:dyDescent="0.2">
      <c r="A214" s="16">
        <v>107</v>
      </c>
      <c r="B214" s="34">
        <v>43556</v>
      </c>
      <c r="C214" s="105">
        <v>13</v>
      </c>
      <c r="D214" s="17" t="str">
        <f>IF(C214=1,"Roßstr. 9",IF(C214=2,"Pfalzstr. 17",IF(C214=3,"Schlossstr. 19",IF(C214=4,"Neanderstr. 15",IF(C214=5,"Luisenstr. 3",IF(C214=6,"Lindenstr. 267",IF(C214=7,"Engerstr. 3",IF(C214=8,"Schützenstr. 20",IF(C214=9,"Stockkampstr. 47",IF(C214=10,"Driburgerstr. 8",IF(C214=11,"Kölnerstr. 261",IF(C214=12,"Merowingerstr. 17",IF(C214=13,"Borsigstr. 7",IF(C214=14,"Gerresheimer Landstr. 152",IF(C214=15,"Hoppengarten 15",IF(C214=16,"Hoppengarten 17",IF(C214=17,"Könerstr. 215",IF(C214=18,"Kölnerstr. 217",IF(C214=19,"Alte Bachstr. 25",IF(C214=20,"Kranzstr. 103",IF(C214=21,"Broicherdorfstr. 3",IF(C214=22,"Grafenberger Allee 235",IF(C214=23,"Börnestr. 2",IF(C214=24,"Angerbenden 31",IF(C214=25,"Koppelskamp 10",IF(C214=26,"Koppelskamp 12",IF(C214=27,"Koppelskamp 14",IF(C214=28,"Koppelskamp 8",IF(C214=29,"Bismarckstr. 109",IF(C214=30,"Memelstr. 43",IF(C214=31,"Angermunderstr. 30",IF(C214=32,"Koppelskamp 5",IF(C214=33,"Koppelskamp 5a",IF(C214=34,"Koppelskamp 7",IF(C214=35,"Lintorfer Waldstr. 6",IF(C214=36,"Lintorfer Waldstr. 8",IF(C214=37,"Lintorfer Waldstr. 10",IF(C214=38,"Koloniestr. 205",IF(C214=39,"Metzerstr. 28",IF(C214=40,"Metzerstr. 28a",IF(C214=41,"Spichernstr. 27",IF(C214=42,"Metzerstr. 17",IF(C214=43,"Neumühlerstr. 35",IF(C214=44,"Neumühlerstr. 37",IF(C214=45,"Neumühlerstr. 39",IF(C214=46,"Neumühlerstr. 41",IF(C214=47,"Mündelheimerstr. 3-5",IF(C214=48,"Mendelsohnstr. 3"))))))))))))))))))))))))))))))))))))))))))))))))</f>
        <v>Borsigstr. 7</v>
      </c>
      <c r="E214" s="17" t="s">
        <v>1026</v>
      </c>
      <c r="F214" s="17" t="s">
        <v>1027</v>
      </c>
      <c r="G214" s="18" t="s">
        <v>1028</v>
      </c>
      <c r="H214" s="17" t="s">
        <v>23</v>
      </c>
      <c r="I214" s="17" t="s">
        <v>14</v>
      </c>
      <c r="J214" s="17" t="s">
        <v>14</v>
      </c>
    </row>
    <row r="215" spans="1:11" ht="16" x14ac:dyDescent="0.2">
      <c r="A215" s="16">
        <v>107</v>
      </c>
      <c r="B215" s="34">
        <v>43199</v>
      </c>
      <c r="C215" s="105">
        <v>31</v>
      </c>
      <c r="D215" s="17" t="s">
        <v>120</v>
      </c>
      <c r="E215" s="17" t="s">
        <v>94</v>
      </c>
      <c r="F215" s="17" t="s">
        <v>313</v>
      </c>
      <c r="G215" s="18" t="s">
        <v>314</v>
      </c>
      <c r="H215" s="17" t="s">
        <v>13</v>
      </c>
      <c r="I215" s="17" t="s">
        <v>119</v>
      </c>
      <c r="J215" s="17" t="s">
        <v>119</v>
      </c>
    </row>
    <row r="216" spans="1:11" ht="16" x14ac:dyDescent="0.2">
      <c r="A216" s="16">
        <v>108</v>
      </c>
      <c r="B216" s="34">
        <v>43553</v>
      </c>
      <c r="C216" s="105">
        <v>9</v>
      </c>
      <c r="D216" s="17" t="str">
        <f>IF(C216=1,"Roßstr. 9",IF(C216=2,"Pfalzstr. 17",IF(C216=3,"Schlossstr. 19",IF(C216=4,"Neanderstr. 15",IF(C216=5,"Luisenstr. 3",IF(C216=6,"Lindenstr. 267",IF(C216=7,"Engerstr. 3",IF(C216=8,"Schützenstr. 20",IF(C216=9,"Stockkampstr. 47",IF(C216=10,"Driburgerstr. 8",IF(C216=11,"Kölnerstr. 261",IF(C216=12,"Merowingerstr. 17",IF(C216=13,"Borsigstr. 7",IF(C216=14,"Gerresheimer Landstr. 152",IF(C216=15,"Hoppengarten 15",IF(C216=16,"Hoppengarten 17",IF(C216=17,"Könerstr. 215",IF(C216=18,"Kölnerstr. 217",IF(C216=19,"Alte Bachstr. 25",IF(C216=20,"Kranzstr. 103",IF(C216=21,"Broicherdorfstr. 3",IF(C216=22,"Grafenberger Allee 235",IF(C216=23,"Börnestr. 2",IF(C216=24,"Angerbenden 31",IF(C216=25,"Koppelskamp 10",IF(C216=26,"Koppelskamp 12",IF(C216=27,"Koppelskamp 14",IF(C216=28,"Koppelskamp 8",IF(C216=29,"Bismarckstr. 109",IF(C216=30,"Memelstr. 43",IF(C216=31,"Angermunderstr. 30",IF(C216=32,"Koppelskamp 5",IF(C216=33,"Koppelskamp 5a",IF(C216=34,"Koppelskamp 7",IF(C216=35,"Lintorfer Waldstr. 6",IF(C216=36,"Lintorfer Waldstr. 8",IF(C216=37,"Lintorfer Waldstr. 10",IF(C216=38,"Koloniestr. 205",IF(C216=39,"Metzerstr. 28",IF(C216=40,"Metzerstr. 28a",IF(C216=41,"Spichernstr. 27",IF(C216=42,"Metzerstr. 17",IF(C216=43,"Neumühlerstr. 35",IF(C216=44,"Neumühlerstr. 37",IF(C216=45,"Neumühlerstr. 39",IF(C216=46,"Neumühlerstr. 41",IF(C216=47,"Mündelheimerstr. 3-5",IF(C216=48,"Mendelsohnstr. 3"))))))))))))))))))))))))))))))))))))))))))))))))</f>
        <v>Stockkampstr. 47</v>
      </c>
      <c r="E216" s="17" t="s">
        <v>344</v>
      </c>
      <c r="F216" s="17" t="s">
        <v>1029</v>
      </c>
      <c r="G216" s="30" t="s">
        <v>1030</v>
      </c>
      <c r="H216" s="17" t="s">
        <v>58</v>
      </c>
      <c r="I216" s="29" t="s">
        <v>14</v>
      </c>
      <c r="J216" s="29" t="s">
        <v>14</v>
      </c>
    </row>
    <row r="217" spans="1:11" ht="16" x14ac:dyDescent="0.2">
      <c r="A217" s="16">
        <v>108</v>
      </c>
      <c r="B217" s="34">
        <v>43199</v>
      </c>
      <c r="C217" s="105">
        <v>33</v>
      </c>
      <c r="D217" s="17" t="s">
        <v>85</v>
      </c>
      <c r="E217" s="17" t="s">
        <v>86</v>
      </c>
      <c r="F217" s="17" t="s">
        <v>315</v>
      </c>
      <c r="G217" s="18" t="s">
        <v>316</v>
      </c>
      <c r="H217" s="17" t="s">
        <v>13</v>
      </c>
      <c r="I217" s="17" t="s">
        <v>14</v>
      </c>
      <c r="J217" s="17" t="s">
        <v>14</v>
      </c>
    </row>
    <row r="218" spans="1:11" ht="16" x14ac:dyDescent="0.2">
      <c r="A218" s="16">
        <v>109</v>
      </c>
      <c r="B218" s="34">
        <v>43558</v>
      </c>
      <c r="C218" s="105">
        <v>20</v>
      </c>
      <c r="D218" s="17" t="str">
        <f>IF(C218=1,"Roßstr. 9",IF(C218=2,"Pfalzstr. 17",IF(C218=3,"Schlossstr. 19",IF(C218=4,"Neanderstr. 15",IF(C218=5,"Luisenstr. 3",IF(C218=6,"Lindenstr. 267",IF(C218=7,"Engerstr. 3",IF(C218=8,"Schützenstr. 20",IF(C218=9,"Stockkampstr. 47",IF(C218=10,"Driburgerstr. 8",IF(C218=11,"Kölnerstr. 261",IF(C218=12,"Merowingerstr. 17",IF(C218=13,"Borsigstr. 7",IF(C218=14,"Gerresheimer Landstr. 152",IF(C218=15,"Hoppengarten 15",IF(C218=16,"Hoppengarten 17",IF(C218=17,"Könerstr. 215",IF(C218=18,"Kölnerstr. 217",IF(C218=19,"Alte Bachstr. 25",IF(C218=20,"Kranzstr. 103",IF(C218=21,"Broicherdorfstr. 3",IF(C218=22,"Grafenberger Allee 235",IF(C218=23,"Börnestr. 2",IF(C218=24,"Angerbenden 31",IF(C218=25,"Koppelskamp 10",IF(C218=26,"Koppelskamp 12",IF(C218=27,"Koppelskamp 14",IF(C218=28,"Koppelskamp 8",IF(C218=29,"Bismarckstr. 109",IF(C218=30,"Memelstr. 43",IF(C218=31,"Angermunderstr. 30",IF(C218=32,"Koppelskamp 5",IF(C218=33,"Koppelskamp 5a",IF(C218=34,"Koppelskamp 7",IF(C218=35,"Lintorfer Waldstr. 6",IF(C218=36,"Lintorfer Waldstr. 8",IF(C218=37,"Lintorfer Waldstr. 10",IF(C218=38,"Koloniestr. 205",IF(C218=39,"Metzerstr. 28",IF(C218=40,"Metzerstr. 28a",IF(C218=41,"Spichernstr. 27",IF(C218=42,"Metzerstr. 17",IF(C218=43,"Neumühlerstr. 35",IF(C218=44,"Neumühlerstr. 37",IF(C218=45,"Neumühlerstr. 39",IF(C218=46,"Neumühlerstr. 41",IF(C218=47,"Mündelheimerstr. 3-5",IF(C218=48,"Mendelsohnstr. 3"))))))))))))))))))))))))))))))))))))))))))))))))</f>
        <v>Kranzstr. 103</v>
      </c>
      <c r="E218" s="17" t="s">
        <v>101</v>
      </c>
      <c r="F218" s="17" t="s">
        <v>102</v>
      </c>
      <c r="G218" s="18" t="s">
        <v>1031</v>
      </c>
      <c r="H218" s="17" t="s">
        <v>23</v>
      </c>
      <c r="I218" s="17" t="s">
        <v>104</v>
      </c>
      <c r="J218" s="17" t="s">
        <v>104</v>
      </c>
      <c r="K218" s="27"/>
    </row>
    <row r="219" spans="1:11" ht="16" x14ac:dyDescent="0.2">
      <c r="A219" s="16">
        <v>109</v>
      </c>
      <c r="B219" s="34">
        <v>43200</v>
      </c>
      <c r="C219" s="105">
        <v>12</v>
      </c>
      <c r="D219" s="17" t="s">
        <v>89</v>
      </c>
      <c r="E219" s="17" t="s">
        <v>317</v>
      </c>
      <c r="F219" s="17" t="s">
        <v>318</v>
      </c>
      <c r="G219" s="18" t="s">
        <v>319</v>
      </c>
      <c r="H219" s="17" t="s">
        <v>13</v>
      </c>
      <c r="I219" s="17" t="s">
        <v>181</v>
      </c>
      <c r="J219" s="21" t="s">
        <v>181</v>
      </c>
    </row>
    <row r="220" spans="1:11" ht="16" x14ac:dyDescent="0.2">
      <c r="A220" s="16">
        <v>110</v>
      </c>
      <c r="B220" s="34">
        <v>43200</v>
      </c>
      <c r="C220" s="105">
        <v>3</v>
      </c>
      <c r="D220" s="17" t="s">
        <v>320</v>
      </c>
      <c r="E220" s="17" t="s">
        <v>269</v>
      </c>
      <c r="F220" s="17" t="s">
        <v>321</v>
      </c>
      <c r="G220" s="18" t="s">
        <v>322</v>
      </c>
      <c r="H220" s="17" t="s">
        <v>23</v>
      </c>
      <c r="I220" s="17" t="s">
        <v>181</v>
      </c>
      <c r="J220" s="17" t="s">
        <v>181</v>
      </c>
    </row>
    <row r="221" spans="1:11" ht="16" x14ac:dyDescent="0.2">
      <c r="A221" s="16">
        <v>110</v>
      </c>
      <c r="B221" s="34">
        <v>43554</v>
      </c>
      <c r="C221" s="105">
        <v>16</v>
      </c>
      <c r="D221" s="17" t="str">
        <f>IF(C221=1,"Roßstr. 9",IF(C221=2,"Pfalzstr. 17",IF(C221=3,"Schlossstr. 19",IF(C221=4,"Neanderstr. 15",IF(C221=5,"Luisenstr. 3",IF(C221=6,"Lindenstr. 267",IF(C221=7,"Engerstr. 3",IF(C221=8,"Schützenstr. 20",IF(C221=9,"Stockkampstr. 47",IF(C221=10,"Driburgerstr. 8",IF(C221=11,"Kölnerstr. 261",IF(C221=12,"Merowingerstr. 17",IF(C221=13,"Borsigstr. 7",IF(C221=14,"Gerresheimer Landstr. 152",IF(C221=15,"Hoppengarten 15",IF(C221=16,"Hoppengarten 17",IF(C221=17,"Könerstr. 215",IF(C221=18,"Kölnerstr. 217",IF(C221=19,"Alte Bachstr. 25",IF(C221=20,"Kranzstr. 103",IF(C221=21,"Broicherdorfstr. 3",IF(C221=22,"Grafenberger Allee 235",IF(C221=23,"Börnestr. 2",IF(C221=24,"Angerbenden 31",IF(C221=25,"Koppelskamp 10",IF(C221=26,"Koppelskamp 12",IF(C221=27,"Koppelskamp 14",IF(C221=28,"Koppelskamp 8",IF(C221=29,"Bismarckstr. 109",IF(C221=30,"Memelstr. 43",IF(C221=31,"Angermunderstr. 30",IF(C221=32,"Koppelskamp 5",IF(C221=33,"Koppelskamp 5a",IF(C221=34,"Koppelskamp 7",IF(C221=35,"Lintorfer Waldstr. 6",IF(C221=36,"Lintorfer Waldstr. 8",IF(C221=37,"Lintorfer Waldstr. 10",IF(C221=38,"Koloniestr. 205",IF(C221=39,"Metzerstr. 28",IF(C221=40,"Metzerstr. 28a",IF(C221=41,"Spichernstr. 27",IF(C221=42,"Metzerstr. 17",IF(C221=43,"Neumühlerstr. 35",IF(C221=44,"Neumühlerstr. 37",IF(C221=45,"Neumühlerstr. 39",IF(C221=46,"Neumühlerstr. 41",IF(C221=47,"Mündelheimerstr. 3-5",IF(C221=48,"Mendelsohnstr. 3"))))))))))))))))))))))))))))))))))))))))))))))))</f>
        <v>Hoppengarten 17</v>
      </c>
      <c r="E221" s="17" t="s">
        <v>264</v>
      </c>
      <c r="F221" s="17"/>
      <c r="G221" s="18" t="s">
        <v>1032</v>
      </c>
      <c r="H221" s="17" t="s">
        <v>119</v>
      </c>
      <c r="I221" s="17" t="s">
        <v>181</v>
      </c>
      <c r="J221" s="17" t="s">
        <v>181</v>
      </c>
    </row>
    <row r="222" spans="1:11" ht="16" x14ac:dyDescent="0.2">
      <c r="A222" s="109">
        <v>111</v>
      </c>
      <c r="B222" s="34">
        <v>43202</v>
      </c>
      <c r="C222" s="105">
        <v>2</v>
      </c>
      <c r="D222" s="17" t="s">
        <v>148</v>
      </c>
      <c r="E222" s="17" t="s">
        <v>121</v>
      </c>
      <c r="F222" s="17" t="s">
        <v>323</v>
      </c>
      <c r="G222" s="18" t="s">
        <v>324</v>
      </c>
      <c r="H222" s="17" t="s">
        <v>13</v>
      </c>
      <c r="I222" s="17" t="s">
        <v>19</v>
      </c>
      <c r="J222" s="114" t="s">
        <v>19</v>
      </c>
    </row>
    <row r="223" spans="1:11" ht="16" x14ac:dyDescent="0.2">
      <c r="A223" s="16">
        <v>111</v>
      </c>
      <c r="B223" s="34">
        <v>43564</v>
      </c>
      <c r="C223" s="105">
        <v>43</v>
      </c>
      <c r="D223" s="17" t="str">
        <f>IF(C223=1,"Roßstr. 9",IF(C223=2,"Pfalzstr. 17",IF(C223=3,"Schlossstr. 19",IF(C223=4,"Neanderstr. 15",IF(C223=5,"Luisenstr. 3",IF(C223=6,"Lindenstr. 267",IF(C223=7,"Engerstr. 3",IF(C223=8,"Schützenstr. 20",IF(C223=9,"Stockkampstr. 47",IF(C223=10,"Driburgerstr. 8",IF(C223=11,"Kölnerstr. 261",IF(C223=12,"Merowingerstr. 17",IF(C223=13,"Borsigstr. 7",IF(C223=14,"Gerresheimer Landstr. 152",IF(C223=15,"Hoppengarten 15",IF(C223=16,"Hoppengarten 17",IF(C223=17,"Könerstr. 215",IF(C223=18,"Kölnerstr. 217",IF(C223=19,"Alte Bachstr. 25",IF(C223=20,"Kranzstr. 103",IF(C223=21,"Broicherdorfstr. 3",IF(C223=22,"Grafenberger Allee 235",IF(C223=23,"Börnestr. 2",IF(C223=24,"Angerbenden 31",IF(C223=25,"Koppelskamp 10",IF(C223=26,"Koppelskamp 12",IF(C223=27,"Koppelskamp 14",IF(C223=28,"Koppelskamp 8",IF(C223=29,"Bismarckstr. 109",IF(C223=30,"Memelstr. 43",IF(C223=31,"Angermunderstr. 30",IF(C223=32,"Koppelskamp 5",IF(C223=33,"Koppelskamp 5a",IF(C223=34,"Koppelskamp 7",IF(C223=35,"Lintorfer Waldstr. 6",IF(C223=36,"Lintorfer Waldstr. 8",IF(C223=37,"Lintorfer Waldstr. 10",IF(C223=38,"Koloniestr. 205",IF(C223=39,"Metzerstr. 28",IF(C223=40,"Metzerstr. 28a",IF(C223=41,"Spichernstr. 27",IF(C223=42,"Metzerstr. 17",IF(C223=43,"Neumühlerstr. 35",IF(C223=44,"Neumühlerstr. 37",IF(C223=45,"Neumühlerstr. 39",IF(C223=46,"Neumühlerstr. 41",IF(C223=47,"Mündelheimerstr. 3-5",IF(C223=48,"Mendelsohnstr. 3"))))))))))))))))))))))))))))))))))))))))))))))))</f>
        <v>Neumühlerstr. 35</v>
      </c>
      <c r="E223" s="17" t="s">
        <v>235</v>
      </c>
      <c r="F223" s="17" t="s">
        <v>1033</v>
      </c>
      <c r="G223" s="18" t="s">
        <v>1034</v>
      </c>
      <c r="H223" s="17" t="s">
        <v>23</v>
      </c>
      <c r="I223" s="17" t="s">
        <v>232</v>
      </c>
      <c r="J223" s="17" t="s">
        <v>232</v>
      </c>
    </row>
    <row r="224" spans="1:11" ht="16" x14ac:dyDescent="0.2">
      <c r="A224" s="16">
        <v>112</v>
      </c>
      <c r="B224" s="34">
        <v>43203</v>
      </c>
      <c r="C224" s="105">
        <v>11</v>
      </c>
      <c r="D224" s="17" t="s">
        <v>133</v>
      </c>
      <c r="E224" s="17" t="s">
        <v>46</v>
      </c>
      <c r="F224" s="17" t="s">
        <v>325</v>
      </c>
      <c r="G224" s="18" t="s">
        <v>326</v>
      </c>
      <c r="H224" s="17" t="s">
        <v>58</v>
      </c>
      <c r="I224" s="17" t="s">
        <v>119</v>
      </c>
      <c r="J224" s="17" t="s">
        <v>119</v>
      </c>
    </row>
    <row r="225" spans="1:15" ht="16" x14ac:dyDescent="0.2">
      <c r="A225" s="16">
        <v>112</v>
      </c>
      <c r="B225" s="34">
        <v>43566</v>
      </c>
      <c r="C225" s="105">
        <v>13</v>
      </c>
      <c r="D225" s="17" t="str">
        <f>IF(C225=1,"Roßstr. 9",IF(C225=2,"Pfalzstr. 17",IF(C225=3,"Schlossstr. 19",IF(C225=4,"Neanderstr. 15",IF(C225=5,"Luisenstr. 3",IF(C225=6,"Lindenstr. 267",IF(C225=7,"Engerstr. 3",IF(C225=8,"Schützenstr. 20",IF(C225=9,"Stockkampstr. 47",IF(C225=10,"Driburgerstr. 8",IF(C225=11,"Kölnerstr. 261",IF(C225=12,"Merowingerstr. 17",IF(C225=13,"Borsigstr. 7",IF(C225=14,"Gerresheimer Landstr. 152",IF(C225=15,"Hoppengarten 15",IF(C225=16,"Hoppengarten 17",IF(C225=17,"Könerstr. 215",IF(C225=18,"Kölnerstr. 217",IF(C225=19,"Alte Bachstr. 25",IF(C225=20,"Kranzstr. 103",IF(C225=21,"Broicherdorfstr. 3",IF(C225=22,"Grafenberger Allee 235",IF(C225=23,"Börnestr. 2",IF(C225=24,"Angerbenden 31",IF(C225=25,"Koppelskamp 10",IF(C225=26,"Koppelskamp 12",IF(C225=27,"Koppelskamp 14",IF(C225=28,"Koppelskamp 8",IF(C225=29,"Bismarckstr. 109",IF(C225=30,"Memelstr. 43",IF(C225=31,"Angermunderstr. 30",IF(C225=32,"Koppelskamp 5",IF(C225=33,"Koppelskamp 5a",IF(C225=34,"Koppelskamp 7",IF(C225=35,"Lintorfer Waldstr. 6",IF(C225=36,"Lintorfer Waldstr. 8",IF(C225=37,"Lintorfer Waldstr. 10",IF(C225=38,"Koloniestr. 205",IF(C225=39,"Metzerstr. 28",IF(C225=40,"Metzerstr. 28a",IF(C225=41,"Spichernstr. 27",IF(C225=42,"Metzerstr. 17",IF(C225=43,"Neumühlerstr. 35",IF(C225=44,"Neumühlerstr. 37",IF(C225=45,"Neumühlerstr. 39",IF(C225=46,"Neumühlerstr. 41",IF(C225=47,"Mündelheimerstr. 3-5",IF(C225=48,"Mendelsohnstr. 3"))))))))))))))))))))))))))))))))))))))))))))))))</f>
        <v>Borsigstr. 7</v>
      </c>
      <c r="E225" s="17" t="s">
        <v>16</v>
      </c>
      <c r="F225" s="17" t="s">
        <v>1035</v>
      </c>
      <c r="G225" s="18" t="s">
        <v>1036</v>
      </c>
      <c r="H225" s="17" t="s">
        <v>13</v>
      </c>
      <c r="I225" s="17" t="s">
        <v>119</v>
      </c>
      <c r="J225" s="17" t="s">
        <v>119</v>
      </c>
    </row>
    <row r="226" spans="1:15" ht="16" x14ac:dyDescent="0.2">
      <c r="A226" s="16">
        <v>113</v>
      </c>
      <c r="B226" s="34">
        <v>43209</v>
      </c>
      <c r="C226" s="105">
        <v>4</v>
      </c>
      <c r="D226" s="17" t="s">
        <v>168</v>
      </c>
      <c r="E226" s="17" t="s">
        <v>10</v>
      </c>
      <c r="F226" s="17" t="s">
        <v>327</v>
      </c>
      <c r="G226" s="18" t="s">
        <v>328</v>
      </c>
      <c r="H226" s="17" t="s">
        <v>13</v>
      </c>
      <c r="I226" s="17" t="s">
        <v>329</v>
      </c>
      <c r="J226" s="70" t="s">
        <v>38</v>
      </c>
    </row>
    <row r="227" spans="1:15" ht="32" x14ac:dyDescent="0.2">
      <c r="A227" s="16">
        <v>113</v>
      </c>
      <c r="B227" s="34">
        <v>43566</v>
      </c>
      <c r="C227" s="105">
        <v>13</v>
      </c>
      <c r="D227" s="17" t="str">
        <f>IF(C227=1,"Roßstr. 9",IF(C227=2,"Pfalzstr. 17",IF(C227=3,"Schlossstr. 19",IF(C227=4,"Neanderstr. 15",IF(C227=5,"Luisenstr. 3",IF(C227=6,"Lindenstr. 267",IF(C227=7,"Engerstr. 3",IF(C227=8,"Schützenstr. 20",IF(C227=9,"Stockkampstr. 47",IF(C227=10,"Driburgerstr. 8",IF(C227=11,"Kölnerstr. 261",IF(C227=12,"Merowingerstr. 17",IF(C227=13,"Borsigstr. 7",IF(C227=14,"Gerresheimer Landstr. 152",IF(C227=15,"Hoppengarten 15",IF(C227=16,"Hoppengarten 17",IF(C227=17,"Könerstr. 215",IF(C227=18,"Kölnerstr. 217",IF(C227=19,"Alte Bachstr. 25",IF(C227=20,"Kranzstr. 103",IF(C227=21,"Broicherdorfstr. 3",IF(C227=22,"Grafenberger Allee 235",IF(C227=23,"Börnestr. 2",IF(C227=24,"Angerbenden 31",IF(C227=25,"Koppelskamp 10",IF(C227=26,"Koppelskamp 12",IF(C227=27,"Koppelskamp 14",IF(C227=28,"Koppelskamp 8",IF(C227=29,"Bismarckstr. 109",IF(C227=30,"Memelstr. 43",IF(C227=31,"Angermunderstr. 30",IF(C227=32,"Koppelskamp 5",IF(C227=33,"Koppelskamp 5a",IF(C227=34,"Koppelskamp 7",IF(C227=35,"Lintorfer Waldstr. 6",IF(C227=36,"Lintorfer Waldstr. 8",IF(C227=37,"Lintorfer Waldstr. 10",IF(C227=38,"Koloniestr. 205",IF(C227=39,"Metzerstr. 28",IF(C227=40,"Metzerstr. 28a",IF(C227=41,"Spichernstr. 27",IF(C227=42,"Metzerstr. 17",IF(C227=43,"Neumühlerstr. 35",IF(C227=44,"Neumühlerstr. 37",IF(C227=45,"Neumühlerstr. 39",IF(C227=46,"Neumühlerstr. 41",IF(C227=47,"Mündelheimerstr. 3-5",IF(C227=48,"Mendelsohnstr. 3"))))))))))))))))))))))))))))))))))))))))))))))))</f>
        <v>Borsigstr. 7</v>
      </c>
      <c r="E227" s="17" t="s">
        <v>202</v>
      </c>
      <c r="F227" s="17" t="s">
        <v>1035</v>
      </c>
      <c r="G227" s="18" t="s">
        <v>1037</v>
      </c>
      <c r="H227" s="17" t="s">
        <v>13</v>
      </c>
      <c r="I227" s="17" t="s">
        <v>19</v>
      </c>
      <c r="J227" s="17" t="s">
        <v>19</v>
      </c>
      <c r="K227" s="26"/>
    </row>
    <row r="228" spans="1:15" ht="16" x14ac:dyDescent="0.2">
      <c r="A228" s="16">
        <v>114</v>
      </c>
      <c r="B228" s="34">
        <v>43210</v>
      </c>
      <c r="C228" s="105">
        <v>43</v>
      </c>
      <c r="D228" s="17" t="s">
        <v>75</v>
      </c>
      <c r="E228" s="17" t="s">
        <v>129</v>
      </c>
      <c r="F228" s="17" t="s">
        <v>17</v>
      </c>
      <c r="G228" s="18" t="s">
        <v>330</v>
      </c>
      <c r="H228" s="17" t="s">
        <v>13</v>
      </c>
      <c r="I228" s="17" t="s">
        <v>331</v>
      </c>
      <c r="J228" s="21" t="s">
        <v>19</v>
      </c>
    </row>
    <row r="229" spans="1:15" ht="16" x14ac:dyDescent="0.2">
      <c r="A229" s="16">
        <v>114</v>
      </c>
      <c r="B229" s="34">
        <v>43566</v>
      </c>
      <c r="C229" s="105">
        <v>1</v>
      </c>
      <c r="D229" s="17" t="str">
        <f>IF(C229=1,"Roßstr. 9",IF(C229=2,"Pfalzstr. 17",IF(C229=3,"Schlossstr. 19",IF(C229=4,"Neanderstr. 15",IF(C229=5,"Luisenstr. 3",IF(C229=6,"Lindenstr. 267",IF(C229=7,"Engerstr. 3",IF(C229=8,"Schützenstr. 20",IF(C229=9,"Stockkampstr. 47",IF(C229=10,"Driburgerstr. 8",IF(C229=11,"Kölnerstr. 261",IF(C229=12,"Merowingerstr. 17",IF(C229=13,"Borsigstr. 7",IF(C229=14,"Gerresheimer Landstr. 152",IF(C229=15,"Hoppengarten 15",IF(C229=16,"Hoppengarten 17",IF(C229=17,"Könerstr. 215",IF(C229=18,"Kölnerstr. 217",IF(C229=19,"Alte Bachstr. 25",IF(C229=20,"Kranzstr. 103",IF(C229=21,"Broicherdorfstr. 3",IF(C229=22,"Grafenberger Allee 235",IF(C229=23,"Börnestr. 2",IF(C229=24,"Angerbenden 31",IF(C229=25,"Koppelskamp 10",IF(C229=26,"Koppelskamp 12",IF(C229=27,"Koppelskamp 14",IF(C229=28,"Koppelskamp 8",IF(C229=29,"Bismarckstr. 109",IF(C229=30,"Memelstr. 43",IF(C229=31,"Angermunderstr. 30",IF(C229=32,"Koppelskamp 5",IF(C229=33,"Koppelskamp 5a",IF(C229=34,"Koppelskamp 7",IF(C229=35,"Lintorfer Waldstr. 6",IF(C229=36,"Lintorfer Waldstr. 8",IF(C229=37,"Lintorfer Waldstr. 10",IF(C229=38,"Koloniestr. 205",IF(C229=39,"Metzerstr. 28",IF(C229=40,"Metzerstr. 28a",IF(C229=41,"Spichernstr. 27",IF(C229=42,"Metzerstr. 17",IF(C229=43,"Neumühlerstr. 35",IF(C229=44,"Neumühlerstr. 37",IF(C229=45,"Neumühlerstr. 39",IF(C229=46,"Neumühlerstr. 41",IF(C229=47,"Mündelheimerstr. 3-5",IF(C229=48,"Mendelsohnstr. 3"))))))))))))))))))))))))))))))))))))))))))))))))</f>
        <v>Roßstr. 9</v>
      </c>
      <c r="E229" s="17" t="s">
        <v>1038</v>
      </c>
      <c r="F229" s="17" t="s">
        <v>17</v>
      </c>
      <c r="G229" s="18" t="s">
        <v>1039</v>
      </c>
      <c r="H229" s="17" t="s">
        <v>13</v>
      </c>
      <c r="I229" s="17" t="s">
        <v>119</v>
      </c>
      <c r="J229" s="17" t="s">
        <v>119</v>
      </c>
      <c r="K229" s="26"/>
    </row>
    <row r="230" spans="1:15" s="19" customFormat="1" ht="16" x14ac:dyDescent="0.2">
      <c r="A230" s="16">
        <v>115</v>
      </c>
      <c r="B230" s="34">
        <v>43213</v>
      </c>
      <c r="C230" s="105">
        <v>25</v>
      </c>
      <c r="D230" s="17" t="s">
        <v>128</v>
      </c>
      <c r="E230" s="17" t="s">
        <v>129</v>
      </c>
      <c r="F230" s="17" t="s">
        <v>304</v>
      </c>
      <c r="G230" s="18" t="s">
        <v>29</v>
      </c>
      <c r="H230" s="17" t="s">
        <v>13</v>
      </c>
      <c r="I230" s="17" t="s">
        <v>48</v>
      </c>
      <c r="J230" s="17" t="s">
        <v>48</v>
      </c>
      <c r="K230" s="28"/>
    </row>
    <row r="231" spans="1:15" ht="16" x14ac:dyDescent="0.2">
      <c r="A231" s="16">
        <v>115</v>
      </c>
      <c r="B231" s="34">
        <v>43566</v>
      </c>
      <c r="C231" s="105">
        <v>1</v>
      </c>
      <c r="D231" s="17" t="str">
        <f>IF(C231=1,"Roßstr. 9",IF(C231=2,"Pfalzstr. 17",IF(C231=3,"Schlossstr. 19",IF(C231=4,"Neanderstr. 15",IF(C231=5,"Luisenstr. 3",IF(C231=6,"Lindenstr. 267",IF(C231=7,"Engerstr. 3",IF(C231=8,"Schützenstr. 20",IF(C231=9,"Stockkampstr. 47",IF(C231=10,"Driburgerstr. 8",IF(C231=11,"Kölnerstr. 261",IF(C231=12,"Merowingerstr. 17",IF(C231=13,"Borsigstr. 7",IF(C231=14,"Gerresheimer Landstr. 152",IF(C231=15,"Hoppengarten 15",IF(C231=16,"Hoppengarten 17",IF(C231=17,"Könerstr. 215",IF(C231=18,"Kölnerstr. 217",IF(C231=19,"Alte Bachstr. 25",IF(C231=20,"Kranzstr. 103",IF(C231=21,"Broicherdorfstr. 3",IF(C231=22,"Grafenberger Allee 235",IF(C231=23,"Börnestr. 2",IF(C231=24,"Angerbenden 31",IF(C231=25,"Koppelskamp 10",IF(C231=26,"Koppelskamp 12",IF(C231=27,"Koppelskamp 14",IF(C231=28,"Koppelskamp 8",IF(C231=29,"Bismarckstr. 109",IF(C231=30,"Memelstr. 43",IF(C231=31,"Angermunderstr. 30",IF(C231=32,"Koppelskamp 5",IF(C231=33,"Koppelskamp 5a",IF(C231=34,"Koppelskamp 7",IF(C231=35,"Lintorfer Waldstr. 6",IF(C231=36,"Lintorfer Waldstr. 8",IF(C231=37,"Lintorfer Waldstr. 10",IF(C231=38,"Koloniestr. 205",IF(C231=39,"Metzerstr. 28",IF(C231=40,"Metzerstr. 28a",IF(C231=41,"Spichernstr. 27",IF(C231=42,"Metzerstr. 17",IF(C231=43,"Neumühlerstr. 35",IF(C231=44,"Neumühlerstr. 37",IF(C231=45,"Neumühlerstr. 39",IF(C231=46,"Neumühlerstr. 41",IF(C231=47,"Mündelheimerstr. 3-5",IF(C231=48,"Mendelsohnstr. 3"))))))))))))))))))))))))))))))))))))))))))))))))</f>
        <v>Roßstr. 9</v>
      </c>
      <c r="E231" s="17" t="s">
        <v>1038</v>
      </c>
      <c r="F231" s="17" t="s">
        <v>17</v>
      </c>
      <c r="G231" s="18" t="s">
        <v>1040</v>
      </c>
      <c r="H231" s="17" t="s">
        <v>13</v>
      </c>
      <c r="I231" s="17" t="s">
        <v>14</v>
      </c>
      <c r="J231" s="21" t="s">
        <v>14</v>
      </c>
    </row>
    <row r="232" spans="1:15" ht="16" x14ac:dyDescent="0.2">
      <c r="A232" s="16">
        <v>116</v>
      </c>
      <c r="B232" s="34">
        <v>43213</v>
      </c>
      <c r="C232" s="105">
        <v>27</v>
      </c>
      <c r="D232" s="17" t="s">
        <v>63</v>
      </c>
      <c r="E232" s="17" t="s">
        <v>138</v>
      </c>
      <c r="F232" s="17" t="s">
        <v>332</v>
      </c>
      <c r="G232" s="18" t="s">
        <v>333</v>
      </c>
      <c r="H232" s="17" t="s">
        <v>13</v>
      </c>
      <c r="I232" s="29" t="s">
        <v>48</v>
      </c>
      <c r="J232" s="29" t="s">
        <v>48</v>
      </c>
      <c r="O232" s="68"/>
    </row>
    <row r="233" spans="1:15" ht="16" x14ac:dyDescent="0.2">
      <c r="A233" s="16">
        <v>116</v>
      </c>
      <c r="B233" s="34">
        <v>43566</v>
      </c>
      <c r="C233" s="105">
        <v>1</v>
      </c>
      <c r="D233" s="17" t="str">
        <f>IF(C233=1,"Roßstr. 9",IF(C233=2,"Pfalzstr. 17",IF(C233=3,"Schlossstr. 19",IF(C233=4,"Neanderstr. 15",IF(C233=5,"Luisenstr. 3",IF(C233=6,"Lindenstr. 267",IF(C233=7,"Engerstr. 3",IF(C233=8,"Schützenstr. 20",IF(C233=9,"Stockkampstr. 47",IF(C233=10,"Driburgerstr. 8",IF(C233=11,"Kölnerstr. 261",IF(C233=12,"Merowingerstr. 17",IF(C233=13,"Borsigstr. 7",IF(C233=14,"Gerresheimer Landstr. 152",IF(C233=15,"Hoppengarten 15",IF(C233=16,"Hoppengarten 17",IF(C233=17,"Könerstr. 215",IF(C233=18,"Kölnerstr. 217",IF(C233=19,"Alte Bachstr. 25",IF(C233=20,"Kranzstr. 103",IF(C233=21,"Broicherdorfstr. 3",IF(C233=22,"Grafenberger Allee 235",IF(C233=23,"Börnestr. 2",IF(C233=24,"Angerbenden 31",IF(C233=25,"Koppelskamp 10",IF(C233=26,"Koppelskamp 12",IF(C233=27,"Koppelskamp 14",IF(C233=28,"Koppelskamp 8",IF(C233=29,"Bismarckstr. 109",IF(C233=30,"Memelstr. 43",IF(C233=31,"Angermunderstr. 30",IF(C233=32,"Koppelskamp 5",IF(C233=33,"Koppelskamp 5a",IF(C233=34,"Koppelskamp 7",IF(C233=35,"Lintorfer Waldstr. 6",IF(C233=36,"Lintorfer Waldstr. 8",IF(C233=37,"Lintorfer Waldstr. 10",IF(C233=38,"Koloniestr. 205",IF(C233=39,"Metzerstr. 28",IF(C233=40,"Metzerstr. 28a",IF(C233=41,"Spichernstr. 27",IF(C233=42,"Metzerstr. 17",IF(C233=43,"Neumühlerstr. 35",IF(C233=44,"Neumühlerstr. 37",IF(C233=45,"Neumühlerstr. 39",IF(C233=46,"Neumühlerstr. 41",IF(C233=47,"Mündelheimerstr. 3-5",IF(C233=48,"Mendelsohnstr. 3"))))))))))))))))))))))))))))))))))))))))))))))))</f>
        <v>Roßstr. 9</v>
      </c>
      <c r="E233" s="17" t="s">
        <v>1038</v>
      </c>
      <c r="F233" s="17" t="s">
        <v>17</v>
      </c>
      <c r="G233" s="18" t="s">
        <v>1041</v>
      </c>
      <c r="H233" s="17"/>
      <c r="I233" s="17"/>
      <c r="J233" s="17" t="s">
        <v>1042</v>
      </c>
      <c r="K233" s="26"/>
    </row>
    <row r="234" spans="1:15" ht="16" x14ac:dyDescent="0.2">
      <c r="A234" s="16">
        <v>117</v>
      </c>
      <c r="B234" s="34">
        <v>43566</v>
      </c>
      <c r="C234" s="105">
        <v>5</v>
      </c>
      <c r="D234" s="17" t="str">
        <f>IF(C234=1,"Roßstr. 9",IF(C234=2,"Pfalzstr. 17",IF(C234=3,"Schlossstr. 19",IF(C234=4,"Neanderstr. 15",IF(C234=5,"Luisenstr. 3",IF(C234=6,"Lindenstr. 267",IF(C234=7,"Engerstr. 3",IF(C234=8,"Schützenstr. 20",IF(C234=9,"Stockkampstr. 47",IF(C234=10,"Driburgerstr. 8",IF(C234=11,"Kölnerstr. 261",IF(C234=12,"Merowingerstr. 17",IF(C234=13,"Borsigstr. 7",IF(C234=14,"Gerresheimer Landstr. 152",IF(C234=15,"Hoppengarten 15",IF(C234=16,"Hoppengarten 17",IF(C234=17,"Könerstr. 215",IF(C234=18,"Kölnerstr. 217",IF(C234=19,"Alte Bachstr. 25",IF(C234=20,"Kranzstr. 103",IF(C234=21,"Broicherdorfstr. 3",IF(C234=22,"Grafenberger Allee 235",IF(C234=23,"Börnestr. 2",IF(C234=24,"Angerbenden 31",IF(C234=25,"Koppelskamp 10",IF(C234=26,"Koppelskamp 12",IF(C234=27,"Koppelskamp 14",IF(C234=28,"Koppelskamp 8",IF(C234=29,"Bismarckstr. 109",IF(C234=30,"Memelstr. 43",IF(C234=31,"Angermunderstr. 30",IF(C234=32,"Koppelskamp 5",IF(C234=33,"Koppelskamp 5a",IF(C234=34,"Koppelskamp 7",IF(C234=35,"Lintorfer Waldstr. 6",IF(C234=36,"Lintorfer Waldstr. 8",IF(C234=37,"Lintorfer Waldstr. 10",IF(C234=38,"Koloniestr. 205",IF(C234=39,"Metzerstr. 28",IF(C234=40,"Metzerstr. 28a",IF(C234=41,"Spichernstr. 27",IF(C234=42,"Metzerstr. 17",IF(C234=43,"Neumühlerstr. 35",IF(C234=44,"Neumühlerstr. 37",IF(C234=45,"Neumühlerstr. 39",IF(C234=46,"Neumühlerstr. 41",IF(C234=47,"Mündelheimerstr. 3-5",IF(C234=48,"Mendelsohnstr. 3"))))))))))))))))))))))))))))))))))))))))))))))))</f>
        <v>Luisenstr. 3</v>
      </c>
      <c r="E234" s="17" t="s">
        <v>467</v>
      </c>
      <c r="F234" s="17" t="s">
        <v>723</v>
      </c>
      <c r="G234" s="18" t="s">
        <v>1043</v>
      </c>
      <c r="H234" s="17" t="s">
        <v>13</v>
      </c>
      <c r="I234" s="17" t="s">
        <v>19</v>
      </c>
      <c r="J234" s="17" t="s">
        <v>19</v>
      </c>
      <c r="K234"/>
    </row>
    <row r="235" spans="1:15" ht="16" x14ac:dyDescent="0.2">
      <c r="A235" s="16">
        <v>117</v>
      </c>
      <c r="B235" s="34">
        <v>43214</v>
      </c>
      <c r="C235" s="105">
        <v>5</v>
      </c>
      <c r="D235" s="17" t="s">
        <v>164</v>
      </c>
      <c r="E235" s="17" t="s">
        <v>334</v>
      </c>
      <c r="F235" s="17" t="s">
        <v>335</v>
      </c>
      <c r="G235" s="18" t="s">
        <v>336</v>
      </c>
      <c r="H235" s="17" t="s">
        <v>13</v>
      </c>
      <c r="I235" s="29" t="s">
        <v>119</v>
      </c>
      <c r="J235" s="29" t="s">
        <v>119</v>
      </c>
      <c r="K235"/>
    </row>
    <row r="236" spans="1:15" ht="16" x14ac:dyDescent="0.2">
      <c r="A236" s="16">
        <v>118</v>
      </c>
      <c r="B236" s="34">
        <v>43567</v>
      </c>
      <c r="C236" s="105">
        <v>19</v>
      </c>
      <c r="D236" s="17" t="str">
        <f>IF(C236=1,"Roßstr. 9",IF(C236=2,"Pfalzstr. 17",IF(C236=3,"Schlossstr. 19",IF(C236=4,"Neanderstr. 15",IF(C236=5,"Luisenstr. 3",IF(C236=6,"Lindenstr. 267",IF(C236=7,"Engerstr. 3",IF(C236=8,"Schützenstr. 20",IF(C236=9,"Stockkampstr. 47",IF(C236=10,"Driburgerstr. 8",IF(C236=11,"Kölnerstr. 261",IF(C236=12,"Merowingerstr. 17",IF(C236=13,"Borsigstr. 7",IF(C236=14,"Gerresheimer Landstr. 152",IF(C236=15,"Hoppengarten 15",IF(C236=16,"Hoppengarten 17",IF(C236=17,"Könerstr. 215",IF(C236=18,"Kölnerstr. 217",IF(C236=19,"Alte Bachstr. 25",IF(C236=20,"Kranzstr. 103",IF(C236=21,"Broicherdorfstr. 3",IF(C236=22,"Grafenberger Allee 235",IF(C236=23,"Börnestr. 2",IF(C236=24,"Angerbenden 31",IF(C236=25,"Koppelskamp 10",IF(C236=26,"Koppelskamp 12",IF(C236=27,"Koppelskamp 14",IF(C236=28,"Koppelskamp 8",IF(C236=29,"Bismarckstr. 109",IF(C236=30,"Memelstr. 43",IF(C236=31,"Angermunderstr. 30",IF(C236=32,"Koppelskamp 5",IF(C236=33,"Koppelskamp 5a",IF(C236=34,"Koppelskamp 7",IF(C236=35,"Lintorfer Waldstr. 6",IF(C236=36,"Lintorfer Waldstr. 8",IF(C236=37,"Lintorfer Waldstr. 10",IF(C236=38,"Koloniestr. 205",IF(C236=39,"Metzerstr. 28",IF(C236=40,"Metzerstr. 28a",IF(C236=41,"Spichernstr. 27",IF(C236=42,"Metzerstr. 17",IF(C236=43,"Neumühlerstr. 35",IF(C236=44,"Neumühlerstr. 37",IF(C236=45,"Neumühlerstr. 39",IF(C236=46,"Neumühlerstr. 41",IF(C236=47,"Mündelheimerstr. 3-5",IF(C236=48,"Mendelsohnstr. 3"))))))))))))))))))))))))))))))))))))))))))))))))</f>
        <v>Alte Bachstr. 25</v>
      </c>
      <c r="E236" s="17" t="s">
        <v>1044</v>
      </c>
      <c r="F236" s="17"/>
      <c r="G236" s="18" t="s">
        <v>1045</v>
      </c>
      <c r="H236" s="17" t="s">
        <v>13</v>
      </c>
      <c r="I236" s="17" t="s">
        <v>920</v>
      </c>
      <c r="J236" s="17" t="s">
        <v>920</v>
      </c>
      <c r="K236"/>
    </row>
    <row r="237" spans="1:15" ht="16" x14ac:dyDescent="0.2">
      <c r="A237" s="16">
        <v>118</v>
      </c>
      <c r="B237" s="34">
        <v>43214</v>
      </c>
      <c r="C237" s="105">
        <v>5</v>
      </c>
      <c r="D237" s="17" t="s">
        <v>164</v>
      </c>
      <c r="E237" s="17" t="s">
        <v>263</v>
      </c>
      <c r="F237" s="17" t="s">
        <v>337</v>
      </c>
      <c r="G237" s="18" t="s">
        <v>338</v>
      </c>
      <c r="H237" s="17" t="s">
        <v>13</v>
      </c>
      <c r="I237" s="29" t="s">
        <v>119</v>
      </c>
      <c r="J237" s="29" t="s">
        <v>119</v>
      </c>
      <c r="K237"/>
    </row>
    <row r="238" spans="1:15" ht="16" x14ac:dyDescent="0.2">
      <c r="A238" s="16">
        <v>119</v>
      </c>
      <c r="B238" s="34">
        <v>43214</v>
      </c>
      <c r="C238" s="105">
        <v>3</v>
      </c>
      <c r="D238" s="17" t="s">
        <v>295</v>
      </c>
      <c r="E238" s="17" t="s">
        <v>202</v>
      </c>
      <c r="F238" s="17" t="s">
        <v>321</v>
      </c>
      <c r="G238" s="18" t="s">
        <v>339</v>
      </c>
      <c r="H238" s="17" t="s">
        <v>13</v>
      </c>
      <c r="I238" s="29" t="s">
        <v>48</v>
      </c>
      <c r="J238" s="72" t="s">
        <v>340</v>
      </c>
    </row>
    <row r="239" spans="1:15" ht="16" x14ac:dyDescent="0.2">
      <c r="A239" s="16">
        <v>119</v>
      </c>
      <c r="B239" s="34">
        <v>43567</v>
      </c>
      <c r="C239" s="105">
        <v>13</v>
      </c>
      <c r="D239" s="17" t="str">
        <f>IF(C239=1,"Roßstr. 9",IF(C239=2,"Pfalzstr. 17",IF(C239=3,"Schlossstr. 19",IF(C239=4,"Neanderstr. 15",IF(C239=5,"Luisenstr. 3",IF(C239=6,"Lindenstr. 267",IF(C239=7,"Engerstr. 3",IF(C239=8,"Schützenstr. 20",IF(C239=9,"Stockkampstr. 47",IF(C239=10,"Driburgerstr. 8",IF(C239=11,"Kölnerstr. 261",IF(C239=12,"Merowingerstr. 17",IF(C239=13,"Borsigstr. 7",IF(C239=14,"Gerresheimer Landstr. 152",IF(C239=15,"Hoppengarten 15",IF(C239=16,"Hoppengarten 17",IF(C239=17,"Könerstr. 215",IF(C239=18,"Kölnerstr. 217",IF(C239=19,"Alte Bachstr. 25",IF(C239=20,"Kranzstr. 103",IF(C239=21,"Broicherdorfstr. 3",IF(C239=22,"Grafenberger Allee 235",IF(C239=23,"Börnestr. 2",IF(C239=24,"Angerbenden 31",IF(C239=25,"Koppelskamp 10",IF(C239=26,"Koppelskamp 12",IF(C239=27,"Koppelskamp 14",IF(C239=28,"Koppelskamp 8",IF(C239=29,"Bismarckstr. 109",IF(C239=30,"Memelstr. 43",IF(C239=31,"Angermunderstr. 30",IF(C239=32,"Koppelskamp 5",IF(C239=33,"Koppelskamp 5a",IF(C239=34,"Koppelskamp 7",IF(C239=35,"Lintorfer Waldstr. 6",IF(C239=36,"Lintorfer Waldstr. 8",IF(C239=37,"Lintorfer Waldstr. 10",IF(C239=38,"Koloniestr. 205",IF(C239=39,"Metzerstr. 28",IF(C239=40,"Metzerstr. 28a",IF(C239=41,"Spichernstr. 27",IF(C239=42,"Metzerstr. 17",IF(C239=43,"Neumühlerstr. 35",IF(C239=44,"Neumühlerstr. 37",IF(C239=45,"Neumühlerstr. 39",IF(C239=46,"Neumühlerstr. 41",IF(C239=47,"Mündelheimerstr. 3-5",IF(C239=48,"Mendelsohnstr. 3"))))))))))))))))))))))))))))))))))))))))))))))))</f>
        <v>Borsigstr. 7</v>
      </c>
      <c r="E239" s="17" t="s">
        <v>16</v>
      </c>
      <c r="F239" s="17" t="s">
        <v>550</v>
      </c>
      <c r="G239" s="18" t="s">
        <v>1046</v>
      </c>
      <c r="H239" s="17" t="s">
        <v>13</v>
      </c>
      <c r="I239" s="17" t="s">
        <v>14</v>
      </c>
      <c r="J239" s="17" t="s">
        <v>14</v>
      </c>
    </row>
    <row r="240" spans="1:15" ht="16" x14ac:dyDescent="0.2">
      <c r="A240" s="16">
        <v>120</v>
      </c>
      <c r="B240" s="34">
        <v>43215</v>
      </c>
      <c r="C240" s="105">
        <v>12</v>
      </c>
      <c r="D240" s="17" t="s">
        <v>89</v>
      </c>
      <c r="E240" s="17" t="s">
        <v>341</v>
      </c>
      <c r="F240" s="17" t="s">
        <v>17</v>
      </c>
      <c r="G240" s="18" t="s">
        <v>342</v>
      </c>
      <c r="H240" s="17" t="s">
        <v>13</v>
      </c>
      <c r="I240" s="29" t="s">
        <v>119</v>
      </c>
      <c r="J240" s="17" t="s">
        <v>119</v>
      </c>
    </row>
    <row r="241" spans="1:12" ht="48" x14ac:dyDescent="0.2">
      <c r="A241" s="16">
        <v>120</v>
      </c>
      <c r="B241" s="34">
        <v>43570</v>
      </c>
      <c r="C241" s="105">
        <v>31</v>
      </c>
      <c r="D241" s="17" t="str">
        <f>IF(C241=1,"Roßstr. 9",IF(C241=2,"Pfalzstr. 17",IF(C241=3,"Schlossstr. 19",IF(C241=4,"Neanderstr. 15",IF(C241=5,"Luisenstr. 3",IF(C241=6,"Lindenstr. 267",IF(C241=7,"Engerstr. 3",IF(C241=8,"Schützenstr. 20",IF(C241=9,"Stockkampstr. 47",IF(C241=10,"Driburgerstr. 8",IF(C241=11,"Kölnerstr. 261",IF(C241=12,"Merowingerstr. 17",IF(C241=13,"Borsigstr. 7",IF(C241=14,"Gerresheimer Landstr. 152",IF(C241=15,"Hoppengarten 15",IF(C241=16,"Hoppengarten 17",IF(C241=17,"Könerstr. 215",IF(C241=18,"Kölnerstr. 217",IF(C241=19,"Alte Bachstr. 25",IF(C241=20,"Kranzstr. 103",IF(C241=21,"Broicherdorfstr. 3",IF(C241=22,"Grafenberger Allee 235",IF(C241=23,"Börnestr. 2",IF(C241=24,"Angerbenden 31",IF(C241=25,"Koppelskamp 10",IF(C241=26,"Koppelskamp 12",IF(C241=27,"Koppelskamp 14",IF(C241=28,"Koppelskamp 8",IF(C241=29,"Bismarckstr. 109",IF(C241=30,"Memelstr. 43",IF(C241=31,"Angermunderstr. 30",IF(C241=32,"Koppelskamp 5",IF(C241=33,"Koppelskamp 5a",IF(C241=34,"Koppelskamp 7",IF(C241=35,"Lintorfer Waldstr. 6",IF(C241=36,"Lintorfer Waldstr. 8",IF(C241=37,"Lintorfer Waldstr. 10",IF(C241=38,"Koloniestr. 205",IF(C241=39,"Metzerstr. 28",IF(C241=40,"Metzerstr. 28a",IF(C241=41,"Spichernstr. 27",IF(C241=42,"Metzerstr. 17",IF(C241=43,"Neumühlerstr. 35",IF(C241=44,"Neumühlerstr. 37",IF(C241=45,"Neumühlerstr. 39",IF(C241=46,"Neumühlerstr. 41",IF(C241=47,"Mündelheimerstr. 3-5",IF(C241=48,"Mendelsohnstr. 3"))))))))))))))))))))))))))))))))))))))))))))))))</f>
        <v>Angermunderstr. 30</v>
      </c>
      <c r="E241" s="17" t="s">
        <v>467</v>
      </c>
      <c r="F241" s="17" t="s">
        <v>1047</v>
      </c>
      <c r="G241" s="18" t="s">
        <v>1048</v>
      </c>
      <c r="H241" s="17" t="s">
        <v>58</v>
      </c>
      <c r="I241" s="17" t="s">
        <v>181</v>
      </c>
      <c r="J241" s="17" t="s">
        <v>181</v>
      </c>
    </row>
    <row r="242" spans="1:12" ht="16" x14ac:dyDescent="0.2">
      <c r="A242" s="16">
        <v>121</v>
      </c>
      <c r="B242" s="34">
        <v>43578</v>
      </c>
      <c r="C242" s="105">
        <v>44</v>
      </c>
      <c r="D242" s="17" t="str">
        <f>IF(C242=1,"Roßstr. 9",IF(C242=2,"Pfalzstr. 17",IF(C242=3,"Schlossstr. 19",IF(C242=4,"Neanderstr. 15",IF(C242=5,"Luisenstr. 3",IF(C242=6,"Lindenstr. 267",IF(C242=7,"Engerstr. 3",IF(C242=8,"Schützenstr. 20",IF(C242=9,"Stockkampstr. 47",IF(C242=10,"Driburgerstr. 8",IF(C242=11,"Kölnerstr. 261",IF(C242=12,"Merowingerstr. 17",IF(C242=13,"Borsigstr. 7",IF(C242=14,"Gerresheimer Landstr. 152",IF(C242=15,"Hoppengarten 15",IF(C242=16,"Hoppengarten 17",IF(C242=17,"Könerstr. 215",IF(C242=18,"Kölnerstr. 217",IF(C242=19,"Alte Bachstr. 25",IF(C242=20,"Kranzstr. 103",IF(C242=21,"Broicherdorfstr. 3",IF(C242=22,"Grafenberger Allee 235",IF(C242=23,"Börnestr. 2",IF(C242=24,"Angerbenden 31",IF(C242=25,"Koppelskamp 10",IF(C242=26,"Koppelskamp 12",IF(C242=27,"Koppelskamp 14",IF(C242=28,"Koppelskamp 8",IF(C242=29,"Bismarckstr. 109",IF(C242=30,"Memelstr. 43",IF(C242=31,"Angermunderstr. 30",IF(C242=32,"Koppelskamp 5",IF(C242=33,"Koppelskamp 5a",IF(C242=34,"Koppelskamp 7",IF(C242=35,"Lintorfer Waldstr. 6",IF(C242=36,"Lintorfer Waldstr. 8",IF(C242=37,"Lintorfer Waldstr. 10",IF(C242=38,"Koloniestr. 205",IF(C242=39,"Metzerstr. 28",IF(C242=40,"Metzerstr. 28a",IF(C242=41,"Spichernstr. 27",IF(C242=42,"Metzerstr. 17",IF(C242=43,"Neumühlerstr. 35",IF(C242=44,"Neumühlerstr. 37",IF(C242=45,"Neumühlerstr. 39",IF(C242=46,"Neumühlerstr. 41",IF(C242=47,"Mündelheimerstr. 3-5",IF(C242=48,"Mendelsohnstr. 3"))))))))))))))))))))))))))))))))))))))))))))))))</f>
        <v>Neumühlerstr. 37</v>
      </c>
      <c r="E242" s="17" t="s">
        <v>245</v>
      </c>
      <c r="F242" s="17" t="s">
        <v>17</v>
      </c>
      <c r="G242" s="18" t="s">
        <v>1049</v>
      </c>
      <c r="H242" s="17" t="s">
        <v>23</v>
      </c>
      <c r="I242" s="57" t="s">
        <v>14</v>
      </c>
      <c r="J242" s="21" t="s">
        <v>14</v>
      </c>
    </row>
    <row r="243" spans="1:12" ht="16" x14ac:dyDescent="0.2">
      <c r="A243" s="16">
        <v>121</v>
      </c>
      <c r="B243" s="34">
        <v>43216</v>
      </c>
      <c r="C243" s="105">
        <v>18</v>
      </c>
      <c r="D243" s="17" t="s">
        <v>343</v>
      </c>
      <c r="E243" s="17" t="s">
        <v>344</v>
      </c>
      <c r="F243" s="17" t="s">
        <v>345</v>
      </c>
      <c r="G243" s="18" t="s">
        <v>346</v>
      </c>
      <c r="H243" s="17" t="s">
        <v>13</v>
      </c>
      <c r="I243" s="29" t="s">
        <v>48</v>
      </c>
      <c r="J243" s="29" t="s">
        <v>48</v>
      </c>
    </row>
    <row r="244" spans="1:12" ht="16" x14ac:dyDescent="0.2">
      <c r="A244" s="16">
        <v>122</v>
      </c>
      <c r="B244" s="34">
        <v>43578</v>
      </c>
      <c r="C244" s="105">
        <v>44</v>
      </c>
      <c r="D244" s="17" t="str">
        <f>IF(C244=1,"Roßstr. 9",IF(C244=2,"Pfalzstr. 17",IF(C244=3,"Schlossstr. 19",IF(C244=4,"Neanderstr. 15",IF(C244=5,"Luisenstr. 3",IF(C244=6,"Lindenstr. 267",IF(C244=7,"Engerstr. 3",IF(C244=8,"Schützenstr. 20",IF(C244=9,"Stockkampstr. 47",IF(C244=10,"Driburgerstr. 8",IF(C244=11,"Kölnerstr. 261",IF(C244=12,"Merowingerstr. 17",IF(C244=13,"Borsigstr. 7",IF(C244=14,"Gerresheimer Landstr. 152",IF(C244=15,"Hoppengarten 15",IF(C244=16,"Hoppengarten 17",IF(C244=17,"Könerstr. 215",IF(C244=18,"Kölnerstr. 217",IF(C244=19,"Alte Bachstr. 25",IF(C244=20,"Kranzstr. 103",IF(C244=21,"Broicherdorfstr. 3",IF(C244=22,"Grafenberger Allee 235",IF(C244=23,"Börnestr. 2",IF(C244=24,"Angerbenden 31",IF(C244=25,"Koppelskamp 10",IF(C244=26,"Koppelskamp 12",IF(C244=27,"Koppelskamp 14",IF(C244=28,"Koppelskamp 8",IF(C244=29,"Bismarckstr. 109",IF(C244=30,"Memelstr. 43",IF(C244=31,"Angermunderstr. 30",IF(C244=32,"Koppelskamp 5",IF(C244=33,"Koppelskamp 5a",IF(C244=34,"Koppelskamp 7",IF(C244=35,"Lintorfer Waldstr. 6",IF(C244=36,"Lintorfer Waldstr. 8",IF(C244=37,"Lintorfer Waldstr. 10",IF(C244=38,"Koloniestr. 205",IF(C244=39,"Metzerstr. 28",IF(C244=40,"Metzerstr. 28a",IF(C244=41,"Spichernstr. 27",IF(C244=42,"Metzerstr. 17",IF(C244=43,"Neumühlerstr. 35",IF(C244=44,"Neumühlerstr. 37",IF(C244=45,"Neumühlerstr. 39",IF(C244=46,"Neumühlerstr. 41",IF(C244=47,"Mündelheimerstr. 3-5",IF(C244=48,"Mendelsohnstr. 3"))))))))))))))))))))))))))))))))))))))))))))))))</f>
        <v>Neumühlerstr. 37</v>
      </c>
      <c r="E244" s="17" t="s">
        <v>245</v>
      </c>
      <c r="F244" s="17" t="s">
        <v>17</v>
      </c>
      <c r="G244" s="18" t="s">
        <v>29</v>
      </c>
      <c r="H244" s="17" t="s">
        <v>23</v>
      </c>
      <c r="I244" s="17" t="s">
        <v>30</v>
      </c>
      <c r="J244" s="17" t="s">
        <v>30</v>
      </c>
      <c r="K244" s="26"/>
    </row>
    <row r="245" spans="1:12" ht="16" x14ac:dyDescent="0.2">
      <c r="A245" s="16">
        <v>122</v>
      </c>
      <c r="B245" s="34">
        <v>43216</v>
      </c>
      <c r="C245" s="105">
        <v>13</v>
      </c>
      <c r="D245" s="17" t="s">
        <v>217</v>
      </c>
      <c r="E245" s="17" t="s">
        <v>60</v>
      </c>
      <c r="F245" s="17" t="s">
        <v>347</v>
      </c>
      <c r="G245" s="18" t="s">
        <v>348</v>
      </c>
      <c r="H245" s="17" t="s">
        <v>13</v>
      </c>
      <c r="I245" s="29" t="s">
        <v>181</v>
      </c>
      <c r="J245" s="29" t="s">
        <v>181</v>
      </c>
    </row>
    <row r="246" spans="1:12" ht="16" x14ac:dyDescent="0.2">
      <c r="A246" s="16">
        <v>123</v>
      </c>
      <c r="B246" s="34">
        <v>43223</v>
      </c>
      <c r="C246" s="105">
        <v>11</v>
      </c>
      <c r="D246" s="17" t="s">
        <v>133</v>
      </c>
      <c r="E246" s="17" t="s">
        <v>64</v>
      </c>
      <c r="F246" s="17" t="s">
        <v>349</v>
      </c>
      <c r="G246" s="18" t="s">
        <v>350</v>
      </c>
      <c r="H246" s="17" t="s">
        <v>58</v>
      </c>
      <c r="I246" s="17" t="s">
        <v>48</v>
      </c>
      <c r="J246" s="17" t="s">
        <v>48</v>
      </c>
    </row>
    <row r="247" spans="1:12" ht="16" x14ac:dyDescent="0.2">
      <c r="A247" s="16">
        <v>123</v>
      </c>
      <c r="B247" s="34">
        <v>43578</v>
      </c>
      <c r="C247" s="105">
        <v>12</v>
      </c>
      <c r="D247" s="17" t="str">
        <f>IF(C247=1,"Roßstr. 9",IF(C247=2,"Pfalzstr. 17",IF(C247=3,"Schlossstr. 19",IF(C247=4,"Neanderstr. 15",IF(C247=5,"Luisenstr. 3",IF(C247=6,"Lindenstr. 267",IF(C247=7,"Engerstr. 3",IF(C247=8,"Schützenstr. 20",IF(C247=9,"Stockkampstr. 47",IF(C247=10,"Driburgerstr. 8",IF(C247=11,"Kölnerstr. 261",IF(C247=12,"Merowingerstr. 17",IF(C247=13,"Borsigstr. 7",IF(C247=14,"Gerresheimer Landstr. 152",IF(C247=15,"Hoppengarten 15",IF(C247=16,"Hoppengarten 17",IF(C247=17,"Könerstr. 215",IF(C247=18,"Kölnerstr. 217",IF(C247=19,"Alte Bachstr. 25",IF(C247=20,"Kranzstr. 103",IF(C247=21,"Broicherdorfstr. 3",IF(C247=22,"Grafenberger Allee 235",IF(C247=23,"Börnestr. 2",IF(C247=24,"Angerbenden 31",IF(C247=25,"Koppelskamp 10",IF(C247=26,"Koppelskamp 12",IF(C247=27,"Koppelskamp 14",IF(C247=28,"Koppelskamp 8",IF(C247=29,"Bismarckstr. 109",IF(C247=30,"Memelstr. 43",IF(C247=31,"Angermunderstr. 30",IF(C247=32,"Koppelskamp 5",IF(C247=33,"Koppelskamp 5a",IF(C247=34,"Koppelskamp 7",IF(C247=35,"Lintorfer Waldstr. 6",IF(C247=36,"Lintorfer Waldstr. 8",IF(C247=37,"Lintorfer Waldstr. 10",IF(C247=38,"Koloniestr. 205",IF(C247=39,"Metzerstr. 28",IF(C247=40,"Metzerstr. 28a",IF(C247=41,"Spichernstr. 27",IF(C247=42,"Metzerstr. 17",IF(C247=43,"Neumühlerstr. 35",IF(C247=44,"Neumühlerstr. 37",IF(C247=45,"Neumühlerstr. 39",IF(C247=46,"Neumühlerstr. 41",IF(C247=47,"Mündelheimerstr. 3-5",IF(C247=48,"Mendelsohnstr. 3"))))))))))))))))))))))))))))))))))))))))))))))))</f>
        <v>Merowingerstr. 17</v>
      </c>
      <c r="E247" s="17" t="s">
        <v>1050</v>
      </c>
      <c r="F247" s="17"/>
      <c r="G247" s="18" t="s">
        <v>1051</v>
      </c>
      <c r="H247" s="17" t="s">
        <v>23</v>
      </c>
      <c r="I247" s="17" t="s">
        <v>181</v>
      </c>
      <c r="J247" s="17" t="s">
        <v>181</v>
      </c>
    </row>
    <row r="248" spans="1:12" ht="16" x14ac:dyDescent="0.2">
      <c r="A248" s="16">
        <v>124</v>
      </c>
      <c r="B248" s="34">
        <v>43578</v>
      </c>
      <c r="C248" s="105">
        <v>43</v>
      </c>
      <c r="D248" s="17" t="str">
        <f>IF(C248=1,"Roßstr. 9",IF(C248=2,"Pfalzstr. 17",IF(C248=3,"Schlossstr. 19",IF(C248=4,"Neanderstr. 15",IF(C248=5,"Luisenstr. 3",IF(C248=6,"Lindenstr. 267",IF(C248=7,"Engerstr. 3",IF(C248=8,"Schützenstr. 20",IF(C248=9,"Stockkampstr. 47",IF(C248=10,"Driburgerstr. 8",IF(C248=11,"Kölnerstr. 261",IF(C248=12,"Merowingerstr. 17",IF(C248=13,"Borsigstr. 7",IF(C248=14,"Gerresheimer Landstr. 152",IF(C248=15,"Hoppengarten 15",IF(C248=16,"Hoppengarten 17",IF(C248=17,"Könerstr. 215",IF(C248=18,"Kölnerstr. 217",IF(C248=19,"Alte Bachstr. 25",IF(C248=20,"Kranzstr. 103",IF(C248=21,"Broicherdorfstr. 3",IF(C248=22,"Grafenberger Allee 235",IF(C248=23,"Börnestr. 2",IF(C248=24,"Angerbenden 31",IF(C248=25,"Koppelskamp 10",IF(C248=26,"Koppelskamp 12",IF(C248=27,"Koppelskamp 14",IF(C248=28,"Koppelskamp 8",IF(C248=29,"Bismarckstr. 109",IF(C248=30,"Memelstr. 43",IF(C248=31,"Angermunderstr. 30",IF(C248=32,"Koppelskamp 5",IF(C248=33,"Koppelskamp 5a",IF(C248=34,"Koppelskamp 7",IF(C248=35,"Lintorfer Waldstr. 6",IF(C248=36,"Lintorfer Waldstr. 8",IF(C248=37,"Lintorfer Waldstr. 10",IF(C248=38,"Koloniestr. 205",IF(C248=39,"Metzerstr. 28",IF(C248=40,"Metzerstr. 28a",IF(C248=41,"Spichernstr. 27",IF(C248=42,"Metzerstr. 17",IF(C248=43,"Neumühlerstr. 35",IF(C248=44,"Neumühlerstr. 37",IF(C248=45,"Neumühlerstr. 39",IF(C248=46,"Neumühlerstr. 41",IF(C248=47,"Mündelheimerstr. 3-5",IF(C248=48,"Mendelsohnstr. 3"))))))))))))))))))))))))))))))))))))))))))))))))</f>
        <v>Neumühlerstr. 35</v>
      </c>
      <c r="E248" s="17" t="s">
        <v>358</v>
      </c>
      <c r="F248" s="17" t="s">
        <v>650</v>
      </c>
      <c r="G248" s="122" t="s">
        <v>1052</v>
      </c>
      <c r="H248" s="17" t="s">
        <v>13</v>
      </c>
      <c r="I248" s="17" t="s">
        <v>14</v>
      </c>
      <c r="J248" s="21" t="s">
        <v>14</v>
      </c>
    </row>
    <row r="249" spans="1:12" ht="16" x14ac:dyDescent="0.2">
      <c r="A249" s="16">
        <v>124</v>
      </c>
      <c r="B249" s="34">
        <v>43216</v>
      </c>
      <c r="C249" s="105">
        <v>25</v>
      </c>
      <c r="D249" s="17" t="s">
        <v>128</v>
      </c>
      <c r="E249" s="17" t="s">
        <v>351</v>
      </c>
      <c r="F249" s="17" t="s">
        <v>352</v>
      </c>
      <c r="G249" s="18" t="s">
        <v>353</v>
      </c>
      <c r="H249" s="17" t="s">
        <v>13</v>
      </c>
      <c r="I249" s="29" t="s">
        <v>76</v>
      </c>
      <c r="J249" s="29" t="s">
        <v>354</v>
      </c>
    </row>
    <row r="250" spans="1:12" ht="16" x14ac:dyDescent="0.2">
      <c r="A250" s="16">
        <v>125</v>
      </c>
      <c r="B250" s="34">
        <v>43223</v>
      </c>
      <c r="C250" s="105">
        <v>34</v>
      </c>
      <c r="D250" s="17" t="s">
        <v>355</v>
      </c>
      <c r="E250" s="17" t="s">
        <v>86</v>
      </c>
      <c r="F250" s="17" t="s">
        <v>356</v>
      </c>
      <c r="G250" s="18" t="s">
        <v>357</v>
      </c>
      <c r="H250" s="17" t="s">
        <v>13</v>
      </c>
      <c r="I250" s="29" t="s">
        <v>14</v>
      </c>
      <c r="J250" s="29" t="s">
        <v>14</v>
      </c>
    </row>
    <row r="251" spans="1:12" ht="32" x14ac:dyDescent="0.2">
      <c r="A251" s="16">
        <v>125</v>
      </c>
      <c r="B251" s="34">
        <v>43578</v>
      </c>
      <c r="C251" s="105">
        <v>46</v>
      </c>
      <c r="D251" s="17" t="str">
        <f>IF(C251=1,"Roßstr. 9",IF(C251=2,"Pfalzstr. 17",IF(C251=3,"Schlossstr. 19",IF(C251=4,"Neanderstr. 15",IF(C251=5,"Luisenstr. 3",IF(C251=6,"Lindenstr. 267",IF(C251=7,"Engerstr. 3",IF(C251=8,"Schützenstr. 20",IF(C251=9,"Stockkampstr. 47",IF(C251=10,"Driburgerstr. 8",IF(C251=11,"Kölnerstr. 261",IF(C251=12,"Merowingerstr. 17",IF(C251=13,"Borsigstr. 7",IF(C251=14,"Gerresheimer Landstr. 152",IF(C251=15,"Hoppengarten 15",IF(C251=16,"Hoppengarten 17",IF(C251=17,"Könerstr. 215",IF(C251=18,"Kölnerstr. 217",IF(C251=19,"Alte Bachstr. 25",IF(C251=20,"Kranzstr. 103",IF(C251=21,"Broicherdorfstr. 3",IF(C251=22,"Grafenberger Allee 235",IF(C251=23,"Börnestr. 2",IF(C251=24,"Angerbenden 31",IF(C251=25,"Koppelskamp 10",IF(C251=26,"Koppelskamp 12",IF(C251=27,"Koppelskamp 14",IF(C251=28,"Koppelskamp 8",IF(C251=29,"Bismarckstr. 109",IF(C251=30,"Memelstr. 43",IF(C251=31,"Angermunderstr. 30",IF(C251=32,"Koppelskamp 5",IF(C251=33,"Koppelskamp 5a",IF(C251=34,"Koppelskamp 7",IF(C251=35,"Lintorfer Waldstr. 6",IF(C251=36,"Lintorfer Waldstr. 8",IF(C251=37,"Lintorfer Waldstr. 10",IF(C251=38,"Koloniestr. 205",IF(C251=39,"Metzerstr. 28",IF(C251=40,"Metzerstr. 28a",IF(C251=41,"Spichernstr. 27",IF(C251=42,"Metzerstr. 17",IF(C251=43,"Neumühlerstr. 35",IF(C251=44,"Neumühlerstr. 37",IF(C251=45,"Neumühlerstr. 39",IF(C251=46,"Neumühlerstr. 41",IF(C251=47,"Mündelheimerstr. 3-5",IF(C251=48,"Mendelsohnstr. 3"))))))))))))))))))))))))))))))))))))))))))))))))</f>
        <v>Neumühlerstr. 41</v>
      </c>
      <c r="E251" s="17" t="s">
        <v>36</v>
      </c>
      <c r="F251" s="17"/>
      <c r="G251" s="18" t="s">
        <v>1053</v>
      </c>
      <c r="H251" s="17" t="s">
        <v>13</v>
      </c>
      <c r="I251" s="17" t="s">
        <v>411</v>
      </c>
      <c r="J251" s="17" t="s">
        <v>411</v>
      </c>
    </row>
    <row r="252" spans="1:12" ht="16" x14ac:dyDescent="0.2">
      <c r="A252" s="16">
        <v>126</v>
      </c>
      <c r="B252" s="34">
        <v>43578</v>
      </c>
      <c r="C252" s="105">
        <v>46</v>
      </c>
      <c r="D252" s="17" t="str">
        <f>IF(C252=1,"Roßstr. 9",IF(C252=2,"Pfalzstr. 17",IF(C252=3,"Schlossstr. 19",IF(C252=4,"Neanderstr. 15",IF(C252=5,"Luisenstr. 3",IF(C252=6,"Lindenstr. 267",IF(C252=7,"Engerstr. 3",IF(C252=8,"Schützenstr. 20",IF(C252=9,"Stockkampstr. 47",IF(C252=10,"Driburgerstr. 8",IF(C252=11,"Kölnerstr. 261",IF(C252=12,"Merowingerstr. 17",IF(C252=13,"Borsigstr. 7",IF(C252=14,"Gerresheimer Landstr. 152",IF(C252=15,"Hoppengarten 15",IF(C252=16,"Hoppengarten 17",IF(C252=17,"Könerstr. 215",IF(C252=18,"Kölnerstr. 217",IF(C252=19,"Alte Bachstr. 25",IF(C252=20,"Kranzstr. 103",IF(C252=21,"Broicherdorfstr. 3",IF(C252=22,"Grafenberger Allee 235",IF(C252=23,"Börnestr. 2",IF(C252=24,"Angerbenden 31",IF(C252=25,"Koppelskamp 10",IF(C252=26,"Koppelskamp 12",IF(C252=27,"Koppelskamp 14",IF(C252=28,"Koppelskamp 8",IF(C252=29,"Bismarckstr. 109",IF(C252=30,"Memelstr. 43",IF(C252=31,"Angermunderstr. 30",IF(C252=32,"Koppelskamp 5",IF(C252=33,"Koppelskamp 5a",IF(C252=34,"Koppelskamp 7",IF(C252=35,"Lintorfer Waldstr. 6",IF(C252=36,"Lintorfer Waldstr. 8",IF(C252=37,"Lintorfer Waldstr. 10",IF(C252=38,"Koloniestr. 205",IF(C252=39,"Metzerstr. 28",IF(C252=40,"Metzerstr. 28a",IF(C252=41,"Spichernstr. 27",IF(C252=42,"Metzerstr. 17",IF(C252=43,"Neumühlerstr. 35",IF(C252=44,"Neumühlerstr. 37",IF(C252=45,"Neumühlerstr. 39",IF(C252=46,"Neumühlerstr. 41",IF(C252=47,"Mündelheimerstr. 3-5",IF(C252=48,"Mendelsohnstr. 3"))))))))))))))))))))))))))))))))))))))))))))))))</f>
        <v>Neumühlerstr. 41</v>
      </c>
      <c r="E252" s="31" t="s">
        <v>10</v>
      </c>
      <c r="F252" s="17" t="s">
        <v>17</v>
      </c>
      <c r="G252" s="18" t="s">
        <v>1054</v>
      </c>
      <c r="H252" s="17" t="s">
        <v>13</v>
      </c>
      <c r="I252" s="17" t="s">
        <v>14</v>
      </c>
      <c r="J252" s="17" t="s">
        <v>14</v>
      </c>
    </row>
    <row r="253" spans="1:12" ht="16" x14ac:dyDescent="0.2">
      <c r="A253" s="16">
        <v>126</v>
      </c>
      <c r="B253" s="34">
        <v>43224</v>
      </c>
      <c r="C253" s="105">
        <v>39</v>
      </c>
      <c r="D253" s="17" t="s">
        <v>152</v>
      </c>
      <c r="E253" s="17" t="s">
        <v>358</v>
      </c>
      <c r="F253" s="17" t="s">
        <v>108</v>
      </c>
      <c r="G253" s="18" t="s">
        <v>359</v>
      </c>
      <c r="H253" s="17" t="s">
        <v>13</v>
      </c>
      <c r="I253" s="17" t="s">
        <v>360</v>
      </c>
      <c r="J253" s="17" t="s">
        <v>30</v>
      </c>
      <c r="K253" s="24"/>
      <c r="L253" s="25"/>
    </row>
    <row r="254" spans="1:12" ht="16" x14ac:dyDescent="0.2">
      <c r="A254" s="16">
        <v>127</v>
      </c>
      <c r="B254" s="34">
        <v>43578</v>
      </c>
      <c r="C254" s="105">
        <v>43</v>
      </c>
      <c r="D254" s="17" t="str">
        <f>IF(C254=1,"Roßstr. 9",IF(C254=2,"Pfalzstr. 17",IF(C254=3,"Schlossstr. 19",IF(C254=4,"Neanderstr. 15",IF(C254=5,"Luisenstr. 3",IF(C254=6,"Lindenstr. 267",IF(C254=7,"Engerstr. 3",IF(C254=8,"Schützenstr. 20",IF(C254=9,"Stockkampstr. 47",IF(C254=10,"Driburgerstr. 8",IF(C254=11,"Kölnerstr. 261",IF(C254=12,"Merowingerstr. 17",IF(C254=13,"Borsigstr. 7",IF(C254=14,"Gerresheimer Landstr. 152",IF(C254=15,"Hoppengarten 15",IF(C254=16,"Hoppengarten 17",IF(C254=17,"Könerstr. 215",IF(C254=18,"Kölnerstr. 217",IF(C254=19,"Alte Bachstr. 25",IF(C254=20,"Kranzstr. 103",IF(C254=21,"Broicherdorfstr. 3",IF(C254=22,"Grafenberger Allee 235",IF(C254=23,"Börnestr. 2",IF(C254=24,"Angerbenden 31",IF(C254=25,"Koppelskamp 10",IF(C254=26,"Koppelskamp 12",IF(C254=27,"Koppelskamp 14",IF(C254=28,"Koppelskamp 8",IF(C254=29,"Bismarckstr. 109",IF(C254=30,"Memelstr. 43",IF(C254=31,"Angermunderstr. 30",IF(C254=32,"Koppelskamp 5",IF(C254=33,"Koppelskamp 5a",IF(C254=34,"Koppelskamp 7",IF(C254=35,"Lintorfer Waldstr. 6",IF(C254=36,"Lintorfer Waldstr. 8",IF(C254=37,"Lintorfer Waldstr. 10",IF(C254=38,"Koloniestr. 205",IF(C254=39,"Metzerstr. 28",IF(C254=40,"Metzerstr. 28a",IF(C254=41,"Spichernstr. 27",IF(C254=42,"Metzerstr. 17",IF(C254=43,"Neumühlerstr. 35",IF(C254=44,"Neumühlerstr. 37",IF(C254=45,"Neumühlerstr. 39",IF(C254=46,"Neumühlerstr. 41",IF(C254=47,"Mündelheimerstr. 3-5",IF(C254=48,"Mendelsohnstr. 3"))))))))))))))))))))))))))))))))))))))))))))))))</f>
        <v>Neumühlerstr. 35</v>
      </c>
      <c r="E254" s="17" t="s">
        <v>637</v>
      </c>
      <c r="F254" s="17" t="s">
        <v>17</v>
      </c>
      <c r="G254" s="18" t="s">
        <v>1055</v>
      </c>
      <c r="H254" s="17" t="s">
        <v>13</v>
      </c>
      <c r="I254" s="17" t="s">
        <v>543</v>
      </c>
      <c r="J254" s="17" t="s">
        <v>543</v>
      </c>
    </row>
    <row r="255" spans="1:12" ht="16" x14ac:dyDescent="0.2">
      <c r="A255" s="16">
        <v>127</v>
      </c>
      <c r="B255" s="34">
        <v>43224</v>
      </c>
      <c r="C255" s="105">
        <v>17</v>
      </c>
      <c r="D255" s="17" t="s">
        <v>201</v>
      </c>
      <c r="E255" s="17" t="s">
        <v>138</v>
      </c>
      <c r="F255" s="17" t="s">
        <v>17</v>
      </c>
      <c r="G255" s="18" t="s">
        <v>361</v>
      </c>
      <c r="H255" s="17" t="s">
        <v>13</v>
      </c>
      <c r="I255" s="17" t="s">
        <v>362</v>
      </c>
      <c r="J255" s="17" t="s">
        <v>363</v>
      </c>
    </row>
    <row r="256" spans="1:12" ht="16" x14ac:dyDescent="0.2">
      <c r="A256" s="16">
        <v>128</v>
      </c>
      <c r="B256" s="34">
        <v>43227</v>
      </c>
      <c r="C256" s="105">
        <v>47</v>
      </c>
      <c r="D256" s="17" t="s">
        <v>228</v>
      </c>
      <c r="E256" s="17" t="s">
        <v>358</v>
      </c>
      <c r="F256" s="17" t="s">
        <v>364</v>
      </c>
      <c r="G256" s="18" t="s">
        <v>365</v>
      </c>
      <c r="H256" s="17" t="s">
        <v>13</v>
      </c>
      <c r="I256" s="38" t="s">
        <v>30</v>
      </c>
      <c r="J256" s="38" t="s">
        <v>30</v>
      </c>
    </row>
    <row r="257" spans="1:10" ht="16" x14ac:dyDescent="0.2">
      <c r="A257" s="16">
        <v>128</v>
      </c>
      <c r="B257" s="34">
        <v>43579</v>
      </c>
      <c r="C257" s="105">
        <v>13</v>
      </c>
      <c r="D257" s="17" t="str">
        <f>IF(C257=1,"Roßstr. 9",IF(C257=2,"Pfalzstr. 17",IF(C257=3,"Schlossstr. 19",IF(C257=4,"Neanderstr. 15",IF(C257=5,"Luisenstr. 3",IF(C257=6,"Lindenstr. 267",IF(C257=7,"Engerstr. 3",IF(C257=8,"Schützenstr. 20",IF(C257=9,"Stockkampstr. 47",IF(C257=10,"Driburgerstr. 8",IF(C257=11,"Kölnerstr. 261",IF(C257=12,"Merowingerstr. 17",IF(C257=13,"Borsigstr. 7",IF(C257=14,"Gerresheimer Landstr. 152",IF(C257=15,"Hoppengarten 15",IF(C257=16,"Hoppengarten 17",IF(C257=17,"Könerstr. 215",IF(C257=18,"Kölnerstr. 217",IF(C257=19,"Alte Bachstr. 25",IF(C257=20,"Kranzstr. 103",IF(C257=21,"Broicherdorfstr. 3",IF(C257=22,"Grafenberger Allee 235",IF(C257=23,"Börnestr. 2",IF(C257=24,"Angerbenden 31",IF(C257=25,"Koppelskamp 10",IF(C257=26,"Koppelskamp 12",IF(C257=27,"Koppelskamp 14",IF(C257=28,"Koppelskamp 8",IF(C257=29,"Bismarckstr. 109",IF(C257=30,"Memelstr. 43",IF(C257=31,"Angermunderstr. 30",IF(C257=32,"Koppelskamp 5",IF(C257=33,"Koppelskamp 5a",IF(C257=34,"Koppelskamp 7",IF(C257=35,"Lintorfer Waldstr. 6",IF(C257=36,"Lintorfer Waldstr. 8",IF(C257=37,"Lintorfer Waldstr. 10",IF(C257=38,"Koloniestr. 205",IF(C257=39,"Metzerstr. 28",IF(C257=40,"Metzerstr. 28a",IF(C257=41,"Spichernstr. 27",IF(C257=42,"Metzerstr. 17",IF(C257=43,"Neumühlerstr. 35",IF(C257=44,"Neumühlerstr. 37",IF(C257=45,"Neumühlerstr. 39",IF(C257=46,"Neumühlerstr. 41",IF(C257=47,"Mündelheimerstr. 3-5",IF(C257=48,"Mendelsohnstr. 3"))))))))))))))))))))))))))))))))))))))))))))))))</f>
        <v>Borsigstr. 7</v>
      </c>
      <c r="E257" s="17" t="s">
        <v>16</v>
      </c>
      <c r="F257" s="17" t="s">
        <v>550</v>
      </c>
      <c r="G257" s="18" t="s">
        <v>1056</v>
      </c>
      <c r="H257" s="17" t="s">
        <v>13</v>
      </c>
      <c r="I257" s="29" t="s">
        <v>930</v>
      </c>
      <c r="J257" s="21" t="s">
        <v>930</v>
      </c>
    </row>
    <row r="258" spans="1:10" ht="16" x14ac:dyDescent="0.2">
      <c r="A258" s="16">
        <v>129</v>
      </c>
      <c r="B258" s="34">
        <v>43227</v>
      </c>
      <c r="C258" s="105">
        <v>41</v>
      </c>
      <c r="D258" s="17" t="s">
        <v>26</v>
      </c>
      <c r="E258" s="17" t="s">
        <v>36</v>
      </c>
      <c r="F258" s="17" t="s">
        <v>43</v>
      </c>
      <c r="G258" s="18" t="s">
        <v>366</v>
      </c>
      <c r="H258" s="17" t="s">
        <v>13</v>
      </c>
      <c r="I258" s="17" t="s">
        <v>367</v>
      </c>
      <c r="J258" s="17" t="s">
        <v>45</v>
      </c>
    </row>
    <row r="259" spans="1:10" ht="16" x14ac:dyDescent="0.2">
      <c r="A259" s="16">
        <v>129</v>
      </c>
      <c r="B259" s="34">
        <v>43580</v>
      </c>
      <c r="C259" s="105">
        <v>8</v>
      </c>
      <c r="D259" s="17" t="str">
        <f>IF(C259=1,"Roßstr. 9",IF(C259=2,"Pfalzstr. 17",IF(C259=3,"Schlossstr. 19",IF(C259=4,"Neanderstr. 15",IF(C259=5,"Luisenstr. 3",IF(C259=6,"Lindenstr. 267",IF(C259=7,"Engerstr. 3",IF(C259=8,"Schützenstr. 20",IF(C259=9,"Stockkampstr. 47",IF(C259=10,"Driburgerstr. 8",IF(C259=11,"Kölnerstr. 261",IF(C259=12,"Merowingerstr. 17",IF(C259=13,"Borsigstr. 7",IF(C259=14,"Gerresheimer Landstr. 152",IF(C259=15,"Hoppengarten 15",IF(C259=16,"Hoppengarten 17",IF(C259=17,"Könerstr. 215",IF(C259=18,"Kölnerstr. 217",IF(C259=19,"Alte Bachstr. 25",IF(C259=20,"Kranzstr. 103",IF(C259=21,"Broicherdorfstr. 3",IF(C259=22,"Grafenberger Allee 235",IF(C259=23,"Börnestr. 2",IF(C259=24,"Angerbenden 31",IF(C259=25,"Koppelskamp 10",IF(C259=26,"Koppelskamp 12",IF(C259=27,"Koppelskamp 14",IF(C259=28,"Koppelskamp 8",IF(C259=29,"Bismarckstr. 109",IF(C259=30,"Memelstr. 43",IF(C259=31,"Angermunderstr. 30",IF(C259=32,"Koppelskamp 5",IF(C259=33,"Koppelskamp 5a",IF(C259=34,"Koppelskamp 7",IF(C259=35,"Lintorfer Waldstr. 6",IF(C259=36,"Lintorfer Waldstr. 8",IF(C259=37,"Lintorfer Waldstr. 10",IF(C259=38,"Koloniestr. 205",IF(C259=39,"Metzerstr. 28",IF(C259=40,"Metzerstr. 28a",IF(C259=41,"Spichernstr. 27",IF(C259=42,"Metzerstr. 17",IF(C259=43,"Neumühlerstr. 35",IF(C259=44,"Neumühlerstr. 37",IF(C259=45,"Neumühlerstr. 39",IF(C259=46,"Neumühlerstr. 41",IF(C259=47,"Mündelheimerstr. 3-5",IF(C259=48,"Mendelsohnstr. 3"))))))))))))))))))))))))))))))))))))))))))))))))</f>
        <v>Schützenstr. 20</v>
      </c>
      <c r="E259" s="17" t="s">
        <v>466</v>
      </c>
      <c r="F259" s="17"/>
      <c r="G259" s="18" t="s">
        <v>1057</v>
      </c>
      <c r="H259" s="17" t="s">
        <v>13</v>
      </c>
      <c r="I259" s="17" t="s">
        <v>181</v>
      </c>
      <c r="J259" s="21" t="s">
        <v>181</v>
      </c>
    </row>
    <row r="260" spans="1:10" ht="32" x14ac:dyDescent="0.2">
      <c r="A260" s="16">
        <v>130</v>
      </c>
      <c r="B260" s="34">
        <v>43228</v>
      </c>
      <c r="C260" s="105">
        <v>44</v>
      </c>
      <c r="D260" s="17" t="s">
        <v>75</v>
      </c>
      <c r="E260" s="17" t="s">
        <v>358</v>
      </c>
      <c r="F260" s="17" t="s">
        <v>17</v>
      </c>
      <c r="G260" s="18" t="s">
        <v>368</v>
      </c>
      <c r="H260" s="17" t="s">
        <v>13</v>
      </c>
      <c r="I260" s="17" t="s">
        <v>306</v>
      </c>
      <c r="J260" s="17" t="s">
        <v>14</v>
      </c>
    </row>
    <row r="261" spans="1:10" ht="32" x14ac:dyDescent="0.2">
      <c r="A261" s="16">
        <v>130</v>
      </c>
      <c r="B261" s="34">
        <v>43580</v>
      </c>
      <c r="C261" s="105">
        <v>15</v>
      </c>
      <c r="D261" s="17" t="s">
        <v>1058</v>
      </c>
      <c r="E261" s="17"/>
      <c r="F261" s="17" t="s">
        <v>1059</v>
      </c>
      <c r="G261" s="18" t="s">
        <v>1060</v>
      </c>
      <c r="H261" s="17" t="s">
        <v>58</v>
      </c>
      <c r="I261" s="29" t="s">
        <v>181</v>
      </c>
      <c r="J261" s="29" t="s">
        <v>181</v>
      </c>
    </row>
    <row r="262" spans="1:10" ht="16" x14ac:dyDescent="0.2">
      <c r="A262" s="16">
        <v>131</v>
      </c>
      <c r="B262" s="34">
        <v>43581</v>
      </c>
      <c r="C262" s="105">
        <v>32</v>
      </c>
      <c r="D262" s="17" t="str">
        <f>IF(C262=1,"Roßstr. 9",IF(C262=2,"Pfalzstr. 17",IF(C262=3,"Schlossstr. 19",IF(C262=4,"Neanderstr. 15",IF(C262=5,"Luisenstr. 3",IF(C262=6,"Lindenstr. 267",IF(C262=7,"Engerstr. 3",IF(C262=8,"Schützenstr. 20",IF(C262=9,"Stockkampstr. 47",IF(C262=10,"Driburgerstr. 8",IF(C262=11,"Kölnerstr. 261",IF(C262=12,"Merowingerstr. 17",IF(C262=13,"Borsigstr. 7",IF(C262=14,"Gerresheimer Landstr. 152",IF(C262=15,"Hoppengarten 15",IF(C262=16,"Hoppengarten 17",IF(C262=17,"Könerstr. 215",IF(C262=18,"Kölnerstr. 217",IF(C262=19,"Alte Bachstr. 25",IF(C262=20,"Kranzstr. 103",IF(C262=21,"Broicherdorfstr. 3",IF(C262=22,"Grafenberger Allee 235",IF(C262=23,"Börnestr. 2",IF(C262=24,"Angerbenden 31",IF(C262=25,"Koppelskamp 10",IF(C262=26,"Koppelskamp 12",IF(C262=27,"Koppelskamp 14",IF(C262=28,"Koppelskamp 8",IF(C262=29,"Bismarckstr. 109",IF(C262=30,"Memelstr. 43",IF(C262=31,"Angermunderstr. 30",IF(C262=32,"Koppelskamp 5",IF(C262=33,"Koppelskamp 5a",IF(C262=34,"Koppelskamp 7",IF(C262=35,"Lintorfer Waldstr. 6",IF(C262=36,"Lintorfer Waldstr. 8",IF(C262=37,"Lintorfer Waldstr. 10",IF(C262=38,"Koloniestr. 205",IF(C262=39,"Metzerstr. 28",IF(C262=40,"Metzerstr. 28a",IF(C262=41,"Spichernstr. 27",IF(C262=42,"Metzerstr. 17",IF(C262=43,"Neumühlerstr. 35",IF(C262=44,"Neumühlerstr. 37",IF(C262=45,"Neumühlerstr. 39",IF(C262=46,"Neumühlerstr. 41",IF(C262=47,"Mündelheimerstr. 3-5",IF(C262=48,"Mendelsohnstr. 3"))))))))))))))))))))))))))))))))))))))))))))))))</f>
        <v>Koppelskamp 5</v>
      </c>
      <c r="E262" s="17" t="s">
        <v>78</v>
      </c>
      <c r="F262" s="17"/>
      <c r="G262" s="18" t="s">
        <v>1061</v>
      </c>
      <c r="H262" s="17" t="s">
        <v>13</v>
      </c>
      <c r="I262" s="17" t="s">
        <v>14</v>
      </c>
      <c r="J262" s="17" t="s">
        <v>14</v>
      </c>
    </row>
    <row r="263" spans="1:10" ht="16" x14ac:dyDescent="0.2">
      <c r="A263" s="16">
        <v>131</v>
      </c>
      <c r="B263" s="34">
        <v>43228</v>
      </c>
      <c r="C263" s="105">
        <v>44</v>
      </c>
      <c r="D263" s="17" t="s">
        <v>75</v>
      </c>
      <c r="E263" s="17" t="s">
        <v>358</v>
      </c>
      <c r="F263" s="17" t="s">
        <v>17</v>
      </c>
      <c r="G263" s="18" t="s">
        <v>369</v>
      </c>
      <c r="H263" s="17" t="s">
        <v>13</v>
      </c>
      <c r="I263" s="17" t="s">
        <v>119</v>
      </c>
      <c r="J263" s="17" t="s">
        <v>119</v>
      </c>
    </row>
    <row r="264" spans="1:10" ht="16" x14ac:dyDescent="0.2">
      <c r="A264" s="16">
        <v>132</v>
      </c>
      <c r="B264" s="34">
        <v>43581</v>
      </c>
      <c r="C264" s="105">
        <v>48</v>
      </c>
      <c r="D264" s="17" t="str">
        <f>IF(C264=1,"Roßstr. 9",IF(C264=2,"Pfalzstr. 17",IF(C264=3,"Schlossstr. 19",IF(C264=4,"Neanderstr. 15",IF(C264=5,"Luisenstr. 3",IF(C264=6,"Lindenstr. 267",IF(C264=7,"Engerstr. 3",IF(C264=8,"Schützenstr. 20",IF(C264=9,"Stockkampstr. 47",IF(C264=10,"Driburgerstr. 8",IF(C264=11,"Kölnerstr. 261",IF(C264=12,"Merowingerstr. 17",IF(C264=13,"Borsigstr. 7",IF(C264=14,"Gerresheimer Landstr. 152",IF(C264=15,"Hoppengarten 15",IF(C264=16,"Hoppengarten 17",IF(C264=17,"Könerstr. 215",IF(C264=18,"Kölnerstr. 217",IF(C264=19,"Alte Bachstr. 25",IF(C264=20,"Kranzstr. 103",IF(C264=21,"Broicherdorfstr. 3",IF(C264=22,"Grafenberger Allee 235",IF(C264=23,"Börnestr. 2",IF(C264=24,"Angerbenden 31",IF(C264=25,"Koppelskamp 10",IF(C264=26,"Koppelskamp 12",IF(C264=27,"Koppelskamp 14",IF(C264=28,"Koppelskamp 8",IF(C264=29,"Bismarckstr. 109",IF(C264=30,"Memelstr. 43",IF(C264=31,"Angermunderstr. 30",IF(C264=32,"Koppelskamp 5",IF(C264=33,"Koppelskamp 5a",IF(C264=34,"Koppelskamp 7",IF(C264=35,"Lintorfer Waldstr. 6",IF(C264=36,"Lintorfer Waldstr. 8",IF(C264=37,"Lintorfer Waldstr. 10",IF(C264=38,"Koloniestr. 205",IF(C264=39,"Metzerstr. 28",IF(C264=40,"Metzerstr. 28a",IF(C264=41,"Spichernstr. 27",IF(C264=42,"Metzerstr. 17",IF(C264=43,"Neumühlerstr. 35",IF(C264=44,"Neumühlerstr. 37",IF(C264=45,"Neumühlerstr. 39",IF(C264=46,"Neumühlerstr. 41",IF(C264=47,"Mündelheimerstr. 3-5",IF(C264=48,"Mendelsohnstr. 3"))))))))))))))))))))))))))))))))))))))))))))))))</f>
        <v>Mendelsohnstr. 3</v>
      </c>
      <c r="E264" s="17" t="s">
        <v>138</v>
      </c>
      <c r="F264" s="17" t="s">
        <v>1062</v>
      </c>
      <c r="G264" s="18" t="s">
        <v>1063</v>
      </c>
      <c r="H264" s="17" t="s">
        <v>13</v>
      </c>
      <c r="I264" s="17" t="s">
        <v>119</v>
      </c>
      <c r="J264" s="17" t="s">
        <v>119</v>
      </c>
    </row>
    <row r="265" spans="1:10" ht="16" x14ac:dyDescent="0.2">
      <c r="A265" s="16">
        <v>132</v>
      </c>
      <c r="B265" s="34">
        <v>43228</v>
      </c>
      <c r="C265" s="105">
        <v>7</v>
      </c>
      <c r="D265" s="17" t="s">
        <v>55</v>
      </c>
      <c r="E265" s="17" t="s">
        <v>64</v>
      </c>
      <c r="F265" s="17" t="s">
        <v>370</v>
      </c>
      <c r="G265" s="18" t="s">
        <v>371</v>
      </c>
      <c r="H265" s="17" t="s">
        <v>58</v>
      </c>
      <c r="I265" s="17" t="s">
        <v>181</v>
      </c>
      <c r="J265" s="17" t="s">
        <v>181</v>
      </c>
    </row>
    <row r="266" spans="1:10" ht="32" x14ac:dyDescent="0.2">
      <c r="A266" s="16">
        <v>133</v>
      </c>
      <c r="B266" s="34">
        <v>43585</v>
      </c>
      <c r="C266" s="105">
        <v>3</v>
      </c>
      <c r="D266" s="17" t="str">
        <f>IF(C266=1,"Roßstr. 9",IF(C266=2,"Pfalzstr. 17",IF(C266=3,"Schlossstr. 19",IF(C266=4,"Neanderstr. 15",IF(C266=5,"Luisenstr. 3",IF(C266=6,"Lindenstr. 267",IF(C266=7,"Engerstr. 3",IF(C266=8,"Schützenstr. 20",IF(C266=9,"Stockkampstr. 47",IF(C266=10,"Driburgerstr. 8",IF(C266=11,"Kölnerstr. 261",IF(C266=12,"Merowingerstr. 17",IF(C266=13,"Borsigstr. 7",IF(C266=14,"Gerresheimer Landstr. 152",IF(C266=15,"Hoppengarten 15",IF(C266=16,"Hoppengarten 17",IF(C266=17,"Könerstr. 215",IF(C266=18,"Kölnerstr. 217",IF(C266=19,"Alte Bachstr. 25",IF(C266=20,"Kranzstr. 103",IF(C266=21,"Broicherdorfstr. 3",IF(C266=22,"Grafenberger Allee 235",IF(C266=23,"Börnestr. 2",IF(C266=24,"Angerbenden 31",IF(C266=25,"Koppelskamp 10",IF(C266=26,"Koppelskamp 12",IF(C266=27,"Koppelskamp 14",IF(C266=28,"Koppelskamp 8",IF(C266=29,"Bismarckstr. 109",IF(C266=30,"Memelstr. 43",IF(C266=31,"Angermunderstr. 30",IF(C266=32,"Koppelskamp 5",IF(C266=33,"Koppelskamp 5a",IF(C266=34,"Koppelskamp 7",IF(C266=35,"Lintorfer Waldstr. 6",IF(C266=36,"Lintorfer Waldstr. 8",IF(C266=37,"Lintorfer Waldstr. 10",IF(C266=38,"Koloniestr. 205",IF(C266=39,"Metzerstr. 28",IF(C266=40,"Metzerstr. 28a",IF(C266=41,"Spichernstr. 27",IF(C266=42,"Metzerstr. 17",IF(C266=43,"Neumühlerstr. 35",IF(C266=44,"Neumühlerstr. 37",IF(C266=45,"Neumühlerstr. 39",IF(C266=46,"Neumühlerstr. 41",IF(C266=47,"Mündelheimerstr. 3-5",IF(C266=48,"Mendelsohnstr. 3"))))))))))))))))))))))))))))))))))))))))))))))))</f>
        <v>Schlossstr. 19</v>
      </c>
      <c r="E266" s="17" t="s">
        <v>1064</v>
      </c>
      <c r="F266" s="17" t="s">
        <v>1065</v>
      </c>
      <c r="G266" s="18" t="s">
        <v>1066</v>
      </c>
      <c r="H266" s="17" t="s">
        <v>58</v>
      </c>
      <c r="I266" s="17" t="s">
        <v>48</v>
      </c>
      <c r="J266" s="17" t="s">
        <v>48</v>
      </c>
    </row>
    <row r="267" spans="1:10" ht="16" x14ac:dyDescent="0.2">
      <c r="A267" s="16">
        <v>133</v>
      </c>
      <c r="B267" s="34">
        <v>43234</v>
      </c>
      <c r="C267" s="105">
        <v>13</v>
      </c>
      <c r="D267" s="17" t="s">
        <v>372</v>
      </c>
      <c r="E267" s="17" t="s">
        <v>129</v>
      </c>
      <c r="F267" s="17" t="s">
        <v>373</v>
      </c>
      <c r="G267" s="18" t="s">
        <v>374</v>
      </c>
      <c r="H267" s="17" t="s">
        <v>58</v>
      </c>
      <c r="I267" s="17" t="s">
        <v>48</v>
      </c>
      <c r="J267" s="17" t="s">
        <v>48</v>
      </c>
    </row>
    <row r="268" spans="1:10" ht="16" x14ac:dyDescent="0.2">
      <c r="A268" s="16">
        <v>134</v>
      </c>
      <c r="B268" s="34">
        <v>43587</v>
      </c>
      <c r="C268" s="105">
        <v>12</v>
      </c>
      <c r="D268" s="17" t="str">
        <f>IF(C268=1,"Roßstr. 9",IF(C268=2,"Pfalzstr. 17",IF(C268=3,"Schlossstr. 19",IF(C268=4,"Neanderstr. 15",IF(C268=5,"Luisenstr. 3",IF(C268=6,"Lindenstr. 267",IF(C268=7,"Engerstr. 3",IF(C268=8,"Schützenstr. 20",IF(C268=9,"Stockkampstr. 47",IF(C268=10,"Driburgerstr. 8",IF(C268=11,"Kölnerstr. 261",IF(C268=12,"Merowingerstr. 17",IF(C268=13,"Borsigstr. 7",IF(C268=14,"Gerresheimer Landstr. 152",IF(C268=15,"Hoppengarten 15",IF(C268=16,"Hoppengarten 17",IF(C268=17,"Könerstr. 215",IF(C268=18,"Kölnerstr. 217",IF(C268=19,"Alte Bachstr. 25",IF(C268=20,"Kranzstr. 103",IF(C268=21,"Broicherdorfstr. 3",IF(C268=22,"Grafenberger Allee 235",IF(C268=23,"Börnestr. 2",IF(C268=24,"Angerbenden 31",IF(C268=25,"Koppelskamp 10",IF(C268=26,"Koppelskamp 12",IF(C268=27,"Koppelskamp 14",IF(C268=28,"Koppelskamp 8",IF(C268=29,"Bismarckstr. 109",IF(C268=30,"Memelstr. 43",IF(C268=31,"Angermunderstr. 30",IF(C268=32,"Koppelskamp 5",IF(C268=33,"Koppelskamp 5a",IF(C268=34,"Koppelskamp 7",IF(C268=35,"Lintorfer Waldstr. 6",IF(C268=36,"Lintorfer Waldstr. 8",IF(C268=37,"Lintorfer Waldstr. 10",IF(C268=38,"Koloniestr. 205",IF(C268=39,"Metzerstr. 28",IF(C268=40,"Metzerstr. 28a",IF(C268=41,"Spichernstr. 27",IF(C268=42,"Metzerstr. 17",IF(C268=43,"Neumühlerstr. 35",IF(C268=44,"Neumühlerstr. 37",IF(C268=45,"Neumühlerstr. 39",IF(C268=46,"Neumühlerstr. 41",IF(C268=47,"Mündelheimerstr. 3-5",IF(C268=48,"Mendelsohnstr. 3"))))))))))))))))))))))))))))))))))))))))))))))))</f>
        <v>Merowingerstr. 17</v>
      </c>
      <c r="E268" s="17" t="s">
        <v>1067</v>
      </c>
      <c r="F268" s="17" t="s">
        <v>1068</v>
      </c>
      <c r="G268" s="18" t="s">
        <v>294</v>
      </c>
      <c r="H268" s="17" t="s">
        <v>13</v>
      </c>
      <c r="I268" s="17" t="s">
        <v>181</v>
      </c>
      <c r="J268" s="17" t="s">
        <v>181</v>
      </c>
    </row>
    <row r="269" spans="1:10" ht="16" x14ac:dyDescent="0.2">
      <c r="A269" s="16">
        <v>134</v>
      </c>
      <c r="B269" s="34">
        <v>43242</v>
      </c>
      <c r="C269" s="105">
        <v>13</v>
      </c>
      <c r="D269" s="17" t="s">
        <v>372</v>
      </c>
      <c r="E269" s="17" t="s">
        <v>60</v>
      </c>
      <c r="F269" s="17" t="s">
        <v>375</v>
      </c>
      <c r="G269" s="18" t="s">
        <v>376</v>
      </c>
      <c r="H269" s="17" t="s">
        <v>13</v>
      </c>
      <c r="I269" s="17" t="s">
        <v>181</v>
      </c>
      <c r="J269" s="23" t="s">
        <v>181</v>
      </c>
    </row>
    <row r="270" spans="1:10" ht="16" x14ac:dyDescent="0.2">
      <c r="A270" s="16">
        <v>135</v>
      </c>
      <c r="B270" s="34">
        <v>43587</v>
      </c>
      <c r="C270" s="105">
        <v>38</v>
      </c>
      <c r="D270" s="17" t="str">
        <f>IF(C270=1,"Roßstr. 9",IF(C270=2,"Pfalzstr. 17",IF(C270=3,"Schlossstr. 19",IF(C270=4,"Neanderstr. 15",IF(C270=5,"Luisenstr. 3",IF(C270=6,"Lindenstr. 267",IF(C270=7,"Engerstr. 3",IF(C270=8,"Schützenstr. 20",IF(C270=9,"Stockkampstr. 47",IF(C270=10,"Driburgerstr. 8",IF(C270=11,"Kölnerstr. 261",IF(C270=12,"Merowingerstr. 17",IF(C270=13,"Borsigstr. 7",IF(C270=14,"Gerresheimer Landstr. 152",IF(C270=15,"Hoppengarten 15",IF(C270=16,"Hoppengarten 17",IF(C270=17,"Könerstr. 215",IF(C270=18,"Kölnerstr. 217",IF(C270=19,"Alte Bachstr. 25",IF(C270=20,"Kranzstr. 103",IF(C270=21,"Broicherdorfstr. 3",IF(C270=22,"Grafenberger Allee 235",IF(C270=23,"Börnestr. 2",IF(C270=24,"Angerbenden 31",IF(C270=25,"Koppelskamp 10",IF(C270=26,"Koppelskamp 12",IF(C270=27,"Koppelskamp 14",IF(C270=28,"Koppelskamp 8",IF(C270=29,"Bismarckstr. 109",IF(C270=30,"Memelstr. 43",IF(C270=31,"Angermunderstr. 30",IF(C270=32,"Koppelskamp 5",IF(C270=33,"Koppelskamp 5a",IF(C270=34,"Koppelskamp 7",IF(C270=35,"Lintorfer Waldstr. 6",IF(C270=36,"Lintorfer Waldstr. 8",IF(C270=37,"Lintorfer Waldstr. 10",IF(C270=38,"Koloniestr. 205",IF(C270=39,"Metzerstr. 28",IF(C270=40,"Metzerstr. 28a",IF(C270=41,"Spichernstr. 27",IF(C270=42,"Metzerstr. 17",IF(C270=43,"Neumühlerstr. 35",IF(C270=44,"Neumühlerstr. 37",IF(C270=45,"Neumühlerstr. 39",IF(C270=46,"Neumühlerstr. 41",IF(C270=47,"Mündelheimerstr. 3-5",IF(C270=48,"Mendelsohnstr. 3"))))))))))))))))))))))))))))))))))))))))))))))))</f>
        <v>Koloniestr. 205</v>
      </c>
      <c r="E270" s="17" t="s">
        <v>32</v>
      </c>
      <c r="F270" s="17" t="s">
        <v>1069</v>
      </c>
      <c r="G270" s="18" t="s">
        <v>1070</v>
      </c>
      <c r="H270" s="17" t="s">
        <v>13</v>
      </c>
      <c r="I270" s="17" t="s">
        <v>119</v>
      </c>
      <c r="J270" s="21" t="s">
        <v>119</v>
      </c>
    </row>
    <row r="271" spans="1:10" ht="32" x14ac:dyDescent="0.2">
      <c r="A271" s="16">
        <v>135</v>
      </c>
      <c r="B271" s="34">
        <v>43242</v>
      </c>
      <c r="C271" s="105">
        <v>13</v>
      </c>
      <c r="D271" s="17" t="s">
        <v>238</v>
      </c>
      <c r="E271" s="17" t="s">
        <v>129</v>
      </c>
      <c r="F271" s="17" t="s">
        <v>373</v>
      </c>
      <c r="G271" s="18" t="s">
        <v>377</v>
      </c>
      <c r="H271" s="17" t="s">
        <v>58</v>
      </c>
      <c r="I271" s="17" t="s">
        <v>181</v>
      </c>
      <c r="J271" s="17" t="s">
        <v>181</v>
      </c>
    </row>
    <row r="272" spans="1:10" ht="16" x14ac:dyDescent="0.2">
      <c r="A272" s="16">
        <v>136</v>
      </c>
      <c r="B272" s="34">
        <v>43242</v>
      </c>
      <c r="C272" s="105">
        <v>13</v>
      </c>
      <c r="D272" s="17" t="s">
        <v>238</v>
      </c>
      <c r="E272" s="17" t="s">
        <v>129</v>
      </c>
      <c r="F272" s="17" t="s">
        <v>373</v>
      </c>
      <c r="G272" s="18" t="s">
        <v>378</v>
      </c>
      <c r="H272" s="17" t="s">
        <v>58</v>
      </c>
      <c r="I272" s="17" t="s">
        <v>14</v>
      </c>
      <c r="J272" s="17" t="s">
        <v>14</v>
      </c>
    </row>
    <row r="273" spans="1:11" ht="16" x14ac:dyDescent="0.2">
      <c r="A273" s="16">
        <v>136</v>
      </c>
      <c r="B273" s="34">
        <v>43587</v>
      </c>
      <c r="C273" s="105">
        <v>43</v>
      </c>
      <c r="D273" s="17" t="str">
        <f>IF(C273=1,"Roßstr. 9",IF(C273=2,"Pfalzstr. 17",IF(C273=3,"Schlossstr. 19",IF(C273=4,"Neanderstr. 15",IF(C273=5,"Luisenstr. 3",IF(C273=6,"Lindenstr. 267",IF(C273=7,"Engerstr. 3",IF(C273=8,"Schützenstr. 20",IF(C273=9,"Stockkampstr. 47",IF(C273=10,"Driburgerstr. 8",IF(C273=11,"Kölnerstr. 261",IF(C273=12,"Merowingerstr. 17",IF(C273=13,"Borsigstr. 7",IF(C273=14,"Gerresheimer Landstr. 152",IF(C273=15,"Hoppengarten 15",IF(C273=16,"Hoppengarten 17",IF(C273=17,"Könerstr. 215",IF(C273=18,"Kölnerstr. 217",IF(C273=19,"Alte Bachstr. 25",IF(C273=20,"Kranzstr. 103",IF(C273=21,"Broicherdorfstr. 3",IF(C273=22,"Grafenberger Allee 235",IF(C273=23,"Börnestr. 2",IF(C273=24,"Angerbenden 31",IF(C273=25,"Koppelskamp 10",IF(C273=26,"Koppelskamp 12",IF(C273=27,"Koppelskamp 14",IF(C273=28,"Koppelskamp 8",IF(C273=29,"Bismarckstr. 109",IF(C273=30,"Memelstr. 43",IF(C273=31,"Angermunderstr. 30",IF(C273=32,"Koppelskamp 5",IF(C273=33,"Koppelskamp 5a",IF(C273=34,"Koppelskamp 7",IF(C273=35,"Lintorfer Waldstr. 6",IF(C273=36,"Lintorfer Waldstr. 8",IF(C273=37,"Lintorfer Waldstr. 10",IF(C273=38,"Koloniestr. 205",IF(C273=39,"Metzerstr. 28",IF(C273=40,"Metzerstr. 28a",IF(C273=41,"Spichernstr. 27",IF(C273=42,"Metzerstr. 17",IF(C273=43,"Neumühlerstr. 35",IF(C273=44,"Neumühlerstr. 37",IF(C273=45,"Neumühlerstr. 39",IF(C273=46,"Neumühlerstr. 41",IF(C273=47,"Mündelheimerstr. 3-5",IF(C273=48,"Mendelsohnstr. 3"))))))))))))))))))))))))))))))))))))))))))))))))</f>
        <v>Neumühlerstr. 35</v>
      </c>
      <c r="E273" s="17" t="s">
        <v>637</v>
      </c>
      <c r="F273" s="17" t="s">
        <v>17</v>
      </c>
      <c r="G273" s="18" t="s">
        <v>1071</v>
      </c>
      <c r="H273" s="17" t="s">
        <v>13</v>
      </c>
      <c r="I273" s="17" t="s">
        <v>917</v>
      </c>
      <c r="J273" s="17" t="s">
        <v>119</v>
      </c>
    </row>
    <row r="274" spans="1:11" ht="16" x14ac:dyDescent="0.2">
      <c r="A274" s="16">
        <v>137</v>
      </c>
      <c r="B274" s="34">
        <v>43242</v>
      </c>
      <c r="C274" s="105">
        <v>35</v>
      </c>
      <c r="D274" s="17" t="s">
        <v>177</v>
      </c>
      <c r="E274" s="17" t="s">
        <v>379</v>
      </c>
      <c r="F274" s="17" t="s">
        <v>179</v>
      </c>
      <c r="G274" s="18" t="s">
        <v>380</v>
      </c>
      <c r="H274" s="17" t="s">
        <v>58</v>
      </c>
      <c r="I274" s="17" t="s">
        <v>14</v>
      </c>
      <c r="J274" s="17" t="s">
        <v>14</v>
      </c>
      <c r="K274" s="26"/>
    </row>
    <row r="275" spans="1:11" ht="16" x14ac:dyDescent="0.2">
      <c r="A275" s="16">
        <v>137</v>
      </c>
      <c r="B275" s="34">
        <v>43591</v>
      </c>
      <c r="C275" s="105">
        <v>20</v>
      </c>
      <c r="D275" s="17" t="str">
        <f>IF(C275=1,"Roßstr. 9",IF(C275=2,"Pfalzstr. 17",IF(C275=3,"Schlossstr. 19",IF(C275=4,"Neanderstr. 15",IF(C275=5,"Luisenstr. 3",IF(C275=6,"Lindenstr. 267",IF(C275=7,"Engerstr. 3",IF(C275=8,"Schützenstr. 20",IF(C275=9,"Stockkampstr. 47",IF(C275=10,"Driburgerstr. 8",IF(C275=11,"Kölnerstr. 261",IF(C275=12,"Merowingerstr. 17",IF(C275=13,"Borsigstr. 7",IF(C275=14,"Gerresheimer Landstr. 152",IF(C275=15,"Hoppengarten 15",IF(C275=16,"Hoppengarten 17",IF(C275=17,"Könerstr. 215",IF(C275=18,"Kölnerstr. 217",IF(C275=19,"Alte Bachstr. 25",IF(C275=20,"Kranzstr. 103",IF(C275=21,"Broicherdorfstr. 3",IF(C275=22,"Grafenberger Allee 235",IF(C275=23,"Börnestr. 2",IF(C275=24,"Angerbenden 31",IF(C275=25,"Koppelskamp 10",IF(C275=26,"Koppelskamp 12",IF(C275=27,"Koppelskamp 14",IF(C275=28,"Koppelskamp 8",IF(C275=29,"Bismarckstr. 109",IF(C275=30,"Memelstr. 43",IF(C275=31,"Angermunderstr. 30",IF(C275=32,"Koppelskamp 5",IF(C275=33,"Koppelskamp 5a",IF(C275=34,"Koppelskamp 7",IF(C275=35,"Lintorfer Waldstr. 6",IF(C275=36,"Lintorfer Waldstr. 8",IF(C275=37,"Lintorfer Waldstr. 10",IF(C275=38,"Koloniestr. 205",IF(C275=39,"Metzerstr. 28",IF(C275=40,"Metzerstr. 28a",IF(C275=41,"Spichernstr. 27",IF(C275=42,"Metzerstr. 17",IF(C275=43,"Neumühlerstr. 35",IF(C275=44,"Neumühlerstr. 37",IF(C275=45,"Neumühlerstr. 39",IF(C275=46,"Neumühlerstr. 41",IF(C275=47,"Mündelheimerstr. 3-5",IF(C275=48,"Mendelsohnstr. 3"))))))))))))))))))))))))))))))))))))))))))))))))</f>
        <v>Kranzstr. 103</v>
      </c>
      <c r="E275" s="17" t="s">
        <v>78</v>
      </c>
      <c r="F275" s="17"/>
      <c r="G275" s="18" t="s">
        <v>1072</v>
      </c>
      <c r="H275" s="17" t="s">
        <v>13</v>
      </c>
      <c r="I275" s="17" t="s">
        <v>14</v>
      </c>
      <c r="J275" s="17" t="s">
        <v>1073</v>
      </c>
    </row>
    <row r="276" spans="1:11" ht="16" x14ac:dyDescent="0.2">
      <c r="A276" s="16">
        <v>138</v>
      </c>
      <c r="B276" s="34">
        <v>43593</v>
      </c>
      <c r="C276" s="105">
        <v>21</v>
      </c>
      <c r="D276" s="17" t="str">
        <f>IF(C276=1,"Roßstr. 9",IF(C276=2,"Pfalzstr. 17",IF(C276=3,"Schlossstr. 19",IF(C276=4,"Neanderstr. 15",IF(C276=5,"Luisenstr. 3",IF(C276=6,"Lindenstr. 267",IF(C276=7,"Engerstr. 3",IF(C276=8,"Schützenstr. 20",IF(C276=9,"Stockkampstr. 47",IF(C276=10,"Driburgerstr. 8",IF(C276=11,"Kölnerstr. 261",IF(C276=12,"Merowingerstr. 17",IF(C276=13,"Borsigstr. 7",IF(C276=14,"Gerresheimer Landstr. 152",IF(C276=15,"Hoppengarten 15",IF(C276=16,"Hoppengarten 17",IF(C276=17,"Könerstr. 215",IF(C276=18,"Kölnerstr. 217",IF(C276=19,"Alte Bachstr. 25",IF(C276=20,"Kranzstr. 103",IF(C276=21,"Broicherdorfstr. 3",IF(C276=22,"Grafenberger Allee 235",IF(C276=23,"Börnestr. 2",IF(C276=24,"Angerbenden 31",IF(C276=25,"Koppelskamp 10",IF(C276=26,"Koppelskamp 12",IF(C276=27,"Koppelskamp 14",IF(C276=28,"Koppelskamp 8",IF(C276=29,"Bismarckstr. 109",IF(C276=30,"Memelstr. 43",IF(C276=31,"Angermunderstr. 30",IF(C276=32,"Koppelskamp 5",IF(C276=33,"Koppelskamp 5a",IF(C276=34,"Koppelskamp 7",IF(C276=35,"Lintorfer Waldstr. 6",IF(C276=36,"Lintorfer Waldstr. 8",IF(C276=37,"Lintorfer Waldstr. 10",IF(C276=38,"Koloniestr. 205",IF(C276=39,"Metzerstr. 28",IF(C276=40,"Metzerstr. 28a",IF(C276=41,"Spichernstr. 27",IF(C276=42,"Metzerstr. 17",IF(C276=43,"Neumühlerstr. 35",IF(C276=44,"Neumühlerstr. 37",IF(C276=45,"Neumühlerstr. 39",IF(C276=46,"Neumühlerstr. 41",IF(C276=47,"Mündelheimerstr. 3-5",IF(C276=48,"Mendelsohnstr. 3"))))))))))))))))))))))))))))))))))))))))))))))))</f>
        <v>Broicherdorfstr. 3</v>
      </c>
      <c r="E276" s="17" t="s">
        <v>64</v>
      </c>
      <c r="F276" s="17" t="s">
        <v>17</v>
      </c>
      <c r="G276" s="18" t="s">
        <v>1074</v>
      </c>
      <c r="H276" s="17" t="s">
        <v>23</v>
      </c>
      <c r="I276" s="17" t="s">
        <v>14</v>
      </c>
      <c r="J276" s="21" t="s">
        <v>14</v>
      </c>
    </row>
    <row r="277" spans="1:11" ht="16" x14ac:dyDescent="0.2">
      <c r="A277" s="16">
        <v>138</v>
      </c>
      <c r="B277" s="34">
        <v>43242</v>
      </c>
      <c r="C277" s="105">
        <v>35</v>
      </c>
      <c r="D277" s="17" t="s">
        <v>177</v>
      </c>
      <c r="E277" s="17" t="s">
        <v>129</v>
      </c>
      <c r="F277" s="17" t="s">
        <v>381</v>
      </c>
      <c r="G277" s="18" t="s">
        <v>382</v>
      </c>
      <c r="H277" s="17" t="s">
        <v>58</v>
      </c>
      <c r="I277" s="17" t="s">
        <v>14</v>
      </c>
      <c r="J277" s="17" t="s">
        <v>119</v>
      </c>
    </row>
    <row r="278" spans="1:11" ht="16" x14ac:dyDescent="0.2">
      <c r="A278" s="16">
        <v>139</v>
      </c>
      <c r="B278" s="34">
        <v>43242</v>
      </c>
      <c r="C278" s="105">
        <v>32</v>
      </c>
      <c r="D278" s="17" t="s">
        <v>39</v>
      </c>
      <c r="E278" s="17" t="s">
        <v>121</v>
      </c>
      <c r="F278" s="17" t="s">
        <v>147</v>
      </c>
      <c r="G278" s="18" t="s">
        <v>383</v>
      </c>
      <c r="H278" s="17" t="s">
        <v>13</v>
      </c>
      <c r="I278" s="17" t="s">
        <v>14</v>
      </c>
      <c r="J278" s="17" t="s">
        <v>14</v>
      </c>
    </row>
    <row r="279" spans="1:11" ht="16" x14ac:dyDescent="0.2">
      <c r="A279" s="16">
        <v>139</v>
      </c>
      <c r="B279" s="34">
        <v>43593</v>
      </c>
      <c r="C279" s="105">
        <v>1</v>
      </c>
      <c r="D279" s="17" t="str">
        <f>IF(C279=1,"Roßstr. 9",IF(C279=2,"Pfalzstr. 17",IF(C279=3,"Schlossstr. 19",IF(C279=4,"Neanderstr. 15",IF(C279=5,"Luisenstr. 3",IF(C279=6,"Lindenstr. 267",IF(C279=7,"Engerstr. 3",IF(C279=8,"Schützenstr. 20",IF(C279=9,"Stockkampstr. 47",IF(C279=10,"Driburgerstr. 8",IF(C279=11,"Kölnerstr. 261",IF(C279=12,"Merowingerstr. 17",IF(C279=13,"Borsigstr. 7",IF(C279=14,"Gerresheimer Landstr. 152",IF(C279=15,"Hoppengarten 15",IF(C279=16,"Hoppengarten 17",IF(C279=17,"Könerstr. 215",IF(C279=18,"Kölnerstr. 217",IF(C279=19,"Alte Bachstr. 25",IF(C279=20,"Kranzstr. 103",IF(C279=21,"Broicherdorfstr. 3",IF(C279=22,"Grafenberger Allee 235",IF(C279=23,"Börnestr. 2",IF(C279=24,"Angerbenden 31",IF(C279=25,"Koppelskamp 10",IF(C279=26,"Koppelskamp 12",IF(C279=27,"Koppelskamp 14",IF(C279=28,"Koppelskamp 8",IF(C279=29,"Bismarckstr. 109",IF(C279=30,"Memelstr. 43",IF(C279=31,"Angermunderstr. 30",IF(C279=32,"Koppelskamp 5",IF(C279=33,"Koppelskamp 5a",IF(C279=34,"Koppelskamp 7",IF(C279=35,"Lintorfer Waldstr. 6",IF(C279=36,"Lintorfer Waldstr. 8",IF(C279=37,"Lintorfer Waldstr. 10",IF(C279=38,"Koloniestr. 205",IF(C279=39,"Metzerstr. 28",IF(C279=40,"Metzerstr. 28a",IF(C279=41,"Spichernstr. 27",IF(C279=42,"Metzerstr. 17",IF(C279=43,"Neumühlerstr. 35",IF(C279=44,"Neumühlerstr. 37",IF(C279=45,"Neumühlerstr. 39",IF(C279=46,"Neumühlerstr. 41",IF(C279=47,"Mündelheimerstr. 3-5",IF(C279=48,"Mendelsohnstr. 3"))))))))))))))))))))))))))))))))))))))))))))))))</f>
        <v>Roßstr. 9</v>
      </c>
      <c r="E279" s="17" t="s">
        <v>1075</v>
      </c>
      <c r="F279" s="17" t="s">
        <v>17</v>
      </c>
      <c r="G279" s="18" t="s">
        <v>1076</v>
      </c>
      <c r="H279" s="17" t="s">
        <v>13</v>
      </c>
      <c r="I279" s="29" t="s">
        <v>1018</v>
      </c>
      <c r="J279" s="29" t="s">
        <v>1018</v>
      </c>
    </row>
    <row r="280" spans="1:11" ht="14.25" customHeight="1" x14ac:dyDescent="0.2">
      <c r="A280" s="16">
        <v>140</v>
      </c>
      <c r="B280" s="34">
        <v>43594</v>
      </c>
      <c r="C280" s="105">
        <v>11</v>
      </c>
      <c r="D280" s="17" t="str">
        <f>IF(C280=1,"Roßstr. 9",IF(C280=2,"Pfalzstr. 17",IF(C280=3,"Schlossstr. 19",IF(C280=4,"Neanderstr. 15",IF(C280=5,"Luisenstr. 3",IF(C280=6,"Lindenstr. 267",IF(C280=7,"Engerstr. 3",IF(C280=8,"Schützenstr. 20",IF(C280=9,"Stockkampstr. 47",IF(C280=10,"Driburgerstr. 8",IF(C280=11,"Kölnerstr. 261",IF(C280=12,"Merowingerstr. 17",IF(C280=13,"Borsigstr. 7",IF(C280=14,"Gerresheimer Landstr. 152",IF(C280=15,"Hoppengarten 15",IF(C280=16,"Hoppengarten 17",IF(C280=17,"Könerstr. 215",IF(C280=18,"Kölnerstr. 217",IF(C280=19,"Alte Bachstr. 25",IF(C280=20,"Kranzstr. 103",IF(C280=21,"Broicherdorfstr. 3",IF(C280=22,"Grafenberger Allee 235",IF(C280=23,"Börnestr. 2",IF(C280=24,"Angerbenden 31",IF(C280=25,"Koppelskamp 10",IF(C280=26,"Koppelskamp 12",IF(C280=27,"Koppelskamp 14",IF(C280=28,"Koppelskamp 8",IF(C280=29,"Bismarckstr. 109",IF(C280=30,"Memelstr. 43",IF(C280=31,"Angermunderstr. 30",IF(C280=32,"Koppelskamp 5",IF(C280=33,"Koppelskamp 5a",IF(C280=34,"Koppelskamp 7",IF(C280=35,"Lintorfer Waldstr. 6",IF(C280=36,"Lintorfer Waldstr. 8",IF(C280=37,"Lintorfer Waldstr. 10",IF(C280=38,"Koloniestr. 205",IF(C280=39,"Metzerstr. 28",IF(C280=40,"Metzerstr. 28a",IF(C280=41,"Spichernstr. 27",IF(C280=42,"Metzerstr. 17",IF(C280=43,"Neumühlerstr. 35",IF(C280=44,"Neumühlerstr. 37",IF(C280=45,"Neumühlerstr. 39",IF(C280=46,"Neumühlerstr. 41",IF(C280=47,"Mündelheimerstr. 3-5",IF(C280=48,"Mendelsohnstr. 3"))))))))))))))))))))))))))))))))))))))))))))))))</f>
        <v>Kölnerstr. 261</v>
      </c>
      <c r="E280" s="17" t="s">
        <v>32</v>
      </c>
      <c r="F280" s="17" t="s">
        <v>1077</v>
      </c>
      <c r="G280" s="18" t="s">
        <v>1078</v>
      </c>
      <c r="H280" s="17" t="s">
        <v>13</v>
      </c>
      <c r="I280" s="17" t="s">
        <v>19</v>
      </c>
      <c r="J280" s="17" t="s">
        <v>19</v>
      </c>
    </row>
    <row r="281" spans="1:11" ht="16" x14ac:dyDescent="0.2">
      <c r="A281" s="16">
        <v>140</v>
      </c>
      <c r="B281" s="34">
        <v>43228</v>
      </c>
      <c r="C281" s="16">
        <v>9</v>
      </c>
      <c r="D281" s="17" t="s">
        <v>796</v>
      </c>
      <c r="E281" s="17" t="s">
        <v>693</v>
      </c>
      <c r="F281" s="17" t="s">
        <v>797</v>
      </c>
      <c r="G281" s="18" t="s">
        <v>294</v>
      </c>
      <c r="H281" s="17" t="s">
        <v>119</v>
      </c>
      <c r="I281" s="23" t="s">
        <v>181</v>
      </c>
      <c r="J281" s="17" t="s">
        <v>181</v>
      </c>
    </row>
    <row r="282" spans="1:11" ht="16" x14ac:dyDescent="0.2">
      <c r="A282" s="16">
        <v>140</v>
      </c>
      <c r="B282" s="34">
        <v>43238</v>
      </c>
      <c r="C282" s="16">
        <v>9</v>
      </c>
      <c r="D282" s="17" t="s">
        <v>796</v>
      </c>
      <c r="E282" s="17" t="s">
        <v>693</v>
      </c>
      <c r="F282" s="17" t="s">
        <v>797</v>
      </c>
      <c r="G282" s="18" t="s">
        <v>542</v>
      </c>
      <c r="H282" s="17" t="s">
        <v>119</v>
      </c>
      <c r="I282" s="23" t="s">
        <v>181</v>
      </c>
      <c r="J282" s="17" t="s">
        <v>181</v>
      </c>
    </row>
    <row r="283" spans="1:11" ht="16" x14ac:dyDescent="0.2">
      <c r="A283" s="16">
        <v>140</v>
      </c>
      <c r="B283" s="34">
        <v>43242</v>
      </c>
      <c r="C283" s="105">
        <v>18</v>
      </c>
      <c r="D283" s="17" t="s">
        <v>343</v>
      </c>
      <c r="E283" s="17" t="s">
        <v>10</v>
      </c>
      <c r="F283" s="17" t="s">
        <v>384</v>
      </c>
      <c r="G283" s="18" t="s">
        <v>385</v>
      </c>
      <c r="H283" s="17" t="s">
        <v>13</v>
      </c>
      <c r="I283" s="17" t="s">
        <v>386</v>
      </c>
      <c r="J283" s="17" t="s">
        <v>181</v>
      </c>
    </row>
    <row r="284" spans="1:11" ht="16" x14ac:dyDescent="0.2">
      <c r="A284" s="16">
        <v>141</v>
      </c>
      <c r="B284" s="34">
        <v>43594</v>
      </c>
      <c r="C284" s="105">
        <v>6</v>
      </c>
      <c r="D284" s="17" t="str">
        <f>IF(C284=1,"Roßstr. 9",IF(C284=2,"Pfalzstr. 17",IF(C284=3,"Schlossstr. 19",IF(C284=4,"Neanderstr. 15",IF(C284=5,"Luisenstr. 3",IF(C284=6,"Lindenstr. 267",IF(C284=7,"Engerstr. 3",IF(C284=8,"Schützenstr. 20",IF(C284=9,"Stockkampstr. 47",IF(C284=10,"Driburgerstr. 8",IF(C284=11,"Kölnerstr. 261",IF(C284=12,"Merowingerstr. 17",IF(C284=13,"Borsigstr. 7",IF(C284=14,"Gerresheimer Landstr. 152",IF(C284=15,"Hoppengarten 15",IF(C284=16,"Hoppengarten 17",IF(C284=17,"Könerstr. 215",IF(C284=18,"Kölnerstr. 217",IF(C284=19,"Alte Bachstr. 25",IF(C284=20,"Kranzstr. 103",IF(C284=21,"Broicherdorfstr. 3",IF(C284=22,"Grafenberger Allee 235",IF(C284=23,"Börnestr. 2",IF(C284=24,"Angerbenden 31",IF(C284=25,"Koppelskamp 10",IF(C284=26,"Koppelskamp 12",IF(C284=27,"Koppelskamp 14",IF(C284=28,"Koppelskamp 8",IF(C284=29,"Bismarckstr. 109",IF(C284=30,"Memelstr. 43",IF(C284=31,"Angermunderstr. 30",IF(C284=32,"Koppelskamp 5",IF(C284=33,"Koppelskamp 5a",IF(C284=34,"Koppelskamp 7",IF(C284=35,"Lintorfer Waldstr. 6",IF(C284=36,"Lintorfer Waldstr. 8",IF(C284=37,"Lintorfer Waldstr. 10",IF(C284=38,"Koloniestr. 205",IF(C284=39,"Metzerstr. 28",IF(C284=40,"Metzerstr. 28a",IF(C284=41,"Spichernstr. 27",IF(C284=42,"Metzerstr. 17",IF(C284=43,"Neumühlerstr. 35",IF(C284=44,"Neumühlerstr. 37",IF(C284=45,"Neumühlerstr. 39",IF(C284=46,"Neumühlerstr. 41",IF(C284=47,"Mündelheimerstr. 3-5",IF(C284=48,"Mendelsohnstr. 3"))))))))))))))))))))))))))))))))))))))))))))))))</f>
        <v>Lindenstr. 267</v>
      </c>
      <c r="E284" s="17" t="s">
        <v>428</v>
      </c>
      <c r="F284" s="17" t="s">
        <v>1079</v>
      </c>
      <c r="G284" s="18" t="s">
        <v>1080</v>
      </c>
      <c r="H284" s="17" t="s">
        <v>13</v>
      </c>
      <c r="I284" s="29" t="s">
        <v>312</v>
      </c>
      <c r="J284" s="29" t="s">
        <v>312</v>
      </c>
    </row>
    <row r="285" spans="1:11" ht="16" x14ac:dyDescent="0.2">
      <c r="A285" s="16">
        <v>141</v>
      </c>
      <c r="B285" s="34">
        <v>43216</v>
      </c>
      <c r="C285" s="16">
        <v>7</v>
      </c>
      <c r="D285" s="17" t="s">
        <v>798</v>
      </c>
      <c r="E285" s="17" t="s">
        <v>202</v>
      </c>
      <c r="F285" s="17" t="s">
        <v>799</v>
      </c>
      <c r="G285" s="18" t="s">
        <v>800</v>
      </c>
      <c r="H285" s="17" t="s">
        <v>13</v>
      </c>
      <c r="I285" s="23" t="s">
        <v>200</v>
      </c>
      <c r="J285" s="17" t="s">
        <v>200</v>
      </c>
      <c r="K285" s="43"/>
    </row>
    <row r="286" spans="1:11" ht="16" x14ac:dyDescent="0.2">
      <c r="A286" s="16">
        <v>141</v>
      </c>
      <c r="B286" s="34">
        <v>43210</v>
      </c>
      <c r="C286" s="105">
        <v>9</v>
      </c>
      <c r="D286" s="17" t="s">
        <v>244</v>
      </c>
      <c r="E286" s="17" t="s">
        <v>138</v>
      </c>
      <c r="F286" s="17" t="s">
        <v>387</v>
      </c>
      <c r="G286" s="18" t="s">
        <v>388</v>
      </c>
      <c r="H286" s="17" t="s">
        <v>58</v>
      </c>
      <c r="I286" s="17" t="s">
        <v>386</v>
      </c>
      <c r="J286" s="21" t="s">
        <v>181</v>
      </c>
    </row>
    <row r="287" spans="1:11" ht="16" x14ac:dyDescent="0.2">
      <c r="A287" s="16">
        <v>142</v>
      </c>
      <c r="B287" s="34">
        <v>43594</v>
      </c>
      <c r="C287" s="105">
        <v>8</v>
      </c>
      <c r="D287" s="17" t="str">
        <f>IF(C287=1,"Roßstr. 9",IF(C287=2,"Pfalzstr. 17",IF(C287=3,"Schlossstr. 19",IF(C287=4,"Neanderstr. 15",IF(C287=5,"Luisenstr. 3",IF(C287=6,"Lindenstr. 267",IF(C287=7,"Engerstr. 3",IF(C287=8,"Schützenstr. 20",IF(C287=9,"Stockkampstr. 47",IF(C287=10,"Driburgerstr. 8",IF(C287=11,"Kölnerstr. 261",IF(C287=12,"Merowingerstr. 17",IF(C287=13,"Borsigstr. 7",IF(C287=14,"Gerresheimer Landstr. 152",IF(C287=15,"Hoppengarten 15",IF(C287=16,"Hoppengarten 17",IF(C287=17,"Könerstr. 215",IF(C287=18,"Kölnerstr. 217",IF(C287=19,"Alte Bachstr. 25",IF(C287=20,"Kranzstr. 103",IF(C287=21,"Broicherdorfstr. 3",IF(C287=22,"Grafenberger Allee 235",IF(C287=23,"Börnestr. 2",IF(C287=24,"Angerbenden 31",IF(C287=25,"Koppelskamp 10",IF(C287=26,"Koppelskamp 12",IF(C287=27,"Koppelskamp 14",IF(C287=28,"Koppelskamp 8",IF(C287=29,"Bismarckstr. 109",IF(C287=30,"Memelstr. 43",IF(C287=31,"Angermunderstr. 30",IF(C287=32,"Koppelskamp 5",IF(C287=33,"Koppelskamp 5a",IF(C287=34,"Koppelskamp 7",IF(C287=35,"Lintorfer Waldstr. 6",IF(C287=36,"Lintorfer Waldstr. 8",IF(C287=37,"Lintorfer Waldstr. 10",IF(C287=38,"Koloniestr. 205",IF(C287=39,"Metzerstr. 28",IF(C287=40,"Metzerstr. 28a",IF(C287=41,"Spichernstr. 27",IF(C287=42,"Metzerstr. 17",IF(C287=43,"Neumühlerstr. 35",IF(C287=44,"Neumühlerstr. 37",IF(C287=45,"Neumühlerstr. 39",IF(C287=46,"Neumühlerstr. 41",IF(C287=47,"Mündelheimerstr. 3-5",IF(C287=48,"Mendelsohnstr. 3"))))))))))))))))))))))))))))))))))))))))))))))))</f>
        <v>Schützenstr. 20</v>
      </c>
      <c r="E287" s="17" t="s">
        <v>466</v>
      </c>
      <c r="F287" s="17" t="s">
        <v>1081</v>
      </c>
      <c r="G287" s="18" t="s">
        <v>468</v>
      </c>
      <c r="H287" s="17" t="s">
        <v>13</v>
      </c>
      <c r="I287" s="17" t="s">
        <v>181</v>
      </c>
      <c r="J287" s="17" t="s">
        <v>181</v>
      </c>
      <c r="K287" s="24"/>
    </row>
    <row r="288" spans="1:11" ht="16" x14ac:dyDescent="0.2">
      <c r="A288" s="16">
        <v>142</v>
      </c>
      <c r="B288" s="34">
        <v>43248</v>
      </c>
      <c r="C288" s="105">
        <v>17</v>
      </c>
      <c r="D288" s="17" t="s">
        <v>201</v>
      </c>
      <c r="E288" s="17" t="s">
        <v>202</v>
      </c>
      <c r="F288" s="17" t="s">
        <v>203</v>
      </c>
      <c r="G288" s="18" t="s">
        <v>389</v>
      </c>
      <c r="H288" s="17" t="s">
        <v>13</v>
      </c>
      <c r="I288" s="17" t="s">
        <v>181</v>
      </c>
      <c r="J288" s="17" t="s">
        <v>181</v>
      </c>
    </row>
    <row r="289" spans="1:11" ht="32" x14ac:dyDescent="0.2">
      <c r="A289" s="16">
        <v>142</v>
      </c>
      <c r="B289" s="34">
        <v>43243</v>
      </c>
      <c r="C289" s="16">
        <v>18</v>
      </c>
      <c r="D289" s="17" t="s">
        <v>437</v>
      </c>
      <c r="E289" s="17" t="s">
        <v>10</v>
      </c>
      <c r="F289" s="17" t="s">
        <v>801</v>
      </c>
      <c r="G289" s="18" t="s">
        <v>802</v>
      </c>
      <c r="H289" s="17" t="s">
        <v>58</v>
      </c>
      <c r="I289" s="23" t="s">
        <v>181</v>
      </c>
      <c r="J289" s="17" t="s">
        <v>181</v>
      </c>
      <c r="K289" s="24"/>
    </row>
    <row r="290" spans="1:11" ht="16" x14ac:dyDescent="0.2">
      <c r="A290" s="16">
        <v>143</v>
      </c>
      <c r="B290" s="34">
        <v>43243</v>
      </c>
      <c r="C290" s="105">
        <v>1</v>
      </c>
      <c r="D290" s="17" t="s">
        <v>390</v>
      </c>
      <c r="E290" s="17" t="s">
        <v>86</v>
      </c>
      <c r="F290" s="17" t="s">
        <v>391</v>
      </c>
      <c r="G290" s="18" t="s">
        <v>392</v>
      </c>
      <c r="H290" s="17" t="s">
        <v>393</v>
      </c>
      <c r="I290" s="21" t="s">
        <v>312</v>
      </c>
      <c r="J290" s="21" t="s">
        <v>312</v>
      </c>
      <c r="K290" s="24"/>
    </row>
    <row r="291" spans="1:11" ht="16" x14ac:dyDescent="0.2">
      <c r="A291" s="16">
        <v>143</v>
      </c>
      <c r="B291" s="34">
        <v>43595</v>
      </c>
      <c r="C291" s="105">
        <v>3</v>
      </c>
      <c r="D291" s="17" t="str">
        <f>IF(C291=1,"Roßstr. 9",IF(C291=2,"Pfalzstr. 17",IF(C291=3,"Schlossstr. 19",IF(C291=4,"Neanderstr. 15",IF(C291=5,"Luisenstr. 3",IF(C291=6,"Lindenstr. 267",IF(C291=7,"Engerstr. 3",IF(C291=8,"Schützenstr. 20",IF(C291=9,"Stockkampstr. 47",IF(C291=10,"Driburgerstr. 8",IF(C291=11,"Kölnerstr. 261",IF(C291=12,"Merowingerstr. 17",IF(C291=13,"Borsigstr. 7",IF(C291=14,"Gerresheimer Landstr. 152",IF(C291=15,"Hoppengarten 15",IF(C291=16,"Hoppengarten 17",IF(C291=17,"Könerstr. 215",IF(C291=18,"Kölnerstr. 217",IF(C291=19,"Alte Bachstr. 25",IF(C291=20,"Kranzstr. 103",IF(C291=21,"Broicherdorfstr. 3",IF(C291=22,"Grafenberger Allee 235",IF(C291=23,"Börnestr. 2",IF(C291=24,"Angerbenden 31",IF(C291=25,"Koppelskamp 10",IF(C291=26,"Koppelskamp 12",IF(C291=27,"Koppelskamp 14",IF(C291=28,"Koppelskamp 8",IF(C291=29,"Bismarckstr. 109",IF(C291=30,"Memelstr. 43",IF(C291=31,"Angermunderstr. 30",IF(C291=32,"Koppelskamp 5",IF(C291=33,"Koppelskamp 5a",IF(C291=34,"Koppelskamp 7",IF(C291=35,"Lintorfer Waldstr. 6",IF(C291=36,"Lintorfer Waldstr. 8",IF(C291=37,"Lintorfer Waldstr. 10",IF(C291=38,"Koloniestr. 205",IF(C291=39,"Metzerstr. 28",IF(C291=40,"Metzerstr. 28a",IF(C291=41,"Spichernstr. 27",IF(C291=42,"Metzerstr. 17",IF(C291=43,"Neumühlerstr. 35",IF(C291=44,"Neumühlerstr. 37",IF(C291=45,"Neumühlerstr. 39",IF(C291=46,"Neumühlerstr. 41",IF(C291=47,"Mündelheimerstr. 3-5",IF(C291=48,"Mendelsohnstr. 3"))))))))))))))))))))))))))))))))))))))))))))))))</f>
        <v>Schlossstr. 19</v>
      </c>
      <c r="E291" s="17" t="s">
        <v>358</v>
      </c>
      <c r="F291" s="17" t="s">
        <v>1082</v>
      </c>
      <c r="G291" s="18" t="s">
        <v>294</v>
      </c>
      <c r="H291" s="17" t="s">
        <v>13</v>
      </c>
      <c r="I291" s="17" t="s">
        <v>181</v>
      </c>
      <c r="J291" s="17" t="s">
        <v>181</v>
      </c>
    </row>
    <row r="292" spans="1:11" ht="16" x14ac:dyDescent="0.2">
      <c r="A292" s="16">
        <v>144</v>
      </c>
      <c r="B292" s="34">
        <v>43595</v>
      </c>
      <c r="C292" s="105">
        <v>19</v>
      </c>
      <c r="D292" s="17" t="str">
        <f>IF(C292=1,"Roßstr. 9",IF(C292=2,"Pfalzstr. 17",IF(C292=3,"Schlossstr. 19",IF(C292=4,"Neanderstr. 15",IF(C292=5,"Luisenstr. 3",IF(C292=6,"Lindenstr. 267",IF(C292=7,"Engerstr. 3",IF(C292=8,"Schützenstr. 20",IF(C292=9,"Stockkampstr. 47",IF(C292=10,"Driburgerstr. 8",IF(C292=11,"Kölnerstr. 261",IF(C292=12,"Merowingerstr. 17",IF(C292=13,"Borsigstr. 7",IF(C292=14,"Gerresheimer Landstr. 152",IF(C292=15,"Hoppengarten 15",IF(C292=16,"Hoppengarten 17",IF(C292=17,"Könerstr. 215",IF(C292=18,"Kölnerstr. 217",IF(C292=19,"Alte Bachstr. 25",IF(C292=20,"Kranzstr. 103",IF(C292=21,"Broicherdorfstr. 3",IF(C292=22,"Grafenberger Allee 235",IF(C292=23,"Börnestr. 2",IF(C292=24,"Angerbenden 31",IF(C292=25,"Koppelskamp 10",IF(C292=26,"Koppelskamp 12",IF(C292=27,"Koppelskamp 14",IF(C292=28,"Koppelskamp 8",IF(C292=29,"Bismarckstr. 109",IF(C292=30,"Memelstr. 43",IF(C292=31,"Angermunderstr. 30",IF(C292=32,"Koppelskamp 5",IF(C292=33,"Koppelskamp 5a",IF(C292=34,"Koppelskamp 7",IF(C292=35,"Lintorfer Waldstr. 6",IF(C292=36,"Lintorfer Waldstr. 8",IF(C292=37,"Lintorfer Waldstr. 10",IF(C292=38,"Koloniestr. 205",IF(C292=39,"Metzerstr. 28",IF(C292=40,"Metzerstr. 28a",IF(C292=41,"Spichernstr. 27",IF(C292=42,"Metzerstr. 17",IF(C292=43,"Neumühlerstr. 35",IF(C292=44,"Neumühlerstr. 37",IF(C292=45,"Neumühlerstr. 39",IF(C292=46,"Neumühlerstr. 41",IF(C292=47,"Mündelheimerstr. 3-5",IF(C292=48,"Mendelsohnstr. 3"))))))))))))))))))))))))))))))))))))))))))))))))</f>
        <v>Alte Bachstr. 25</v>
      </c>
      <c r="E292" s="17" t="s">
        <v>36</v>
      </c>
      <c r="F292" s="17"/>
      <c r="G292" s="18" t="s">
        <v>1083</v>
      </c>
      <c r="H292" s="17" t="s">
        <v>13</v>
      </c>
      <c r="I292" s="17" t="s">
        <v>436</v>
      </c>
      <c r="J292" s="17" t="s">
        <v>436</v>
      </c>
    </row>
    <row r="293" spans="1:11" ht="16" x14ac:dyDescent="0.2">
      <c r="A293" s="16">
        <v>144</v>
      </c>
      <c r="B293" s="34">
        <v>43249</v>
      </c>
      <c r="C293" s="105">
        <v>1</v>
      </c>
      <c r="D293" s="17" t="s">
        <v>390</v>
      </c>
      <c r="E293" s="17" t="s">
        <v>129</v>
      </c>
      <c r="F293" s="17" t="s">
        <v>394</v>
      </c>
      <c r="G293" s="18" t="s">
        <v>395</v>
      </c>
      <c r="H293" s="17" t="s">
        <v>13</v>
      </c>
      <c r="I293" s="17" t="s">
        <v>119</v>
      </c>
      <c r="J293" s="17" t="s">
        <v>119</v>
      </c>
      <c r="K293" s="24"/>
    </row>
    <row r="294" spans="1:11" ht="48" x14ac:dyDescent="0.2">
      <c r="A294" s="16">
        <v>145</v>
      </c>
      <c r="B294" s="34">
        <v>43250</v>
      </c>
      <c r="C294" s="105">
        <v>10</v>
      </c>
      <c r="D294" s="17" t="s">
        <v>9</v>
      </c>
      <c r="E294" s="17" t="s">
        <v>60</v>
      </c>
      <c r="F294" s="17" t="s">
        <v>396</v>
      </c>
      <c r="G294" s="18" t="s">
        <v>397</v>
      </c>
      <c r="H294" s="17" t="s">
        <v>58</v>
      </c>
      <c r="I294" s="17" t="s">
        <v>14</v>
      </c>
      <c r="J294" s="17" t="s">
        <v>14</v>
      </c>
      <c r="K294" s="24"/>
    </row>
    <row r="295" spans="1:11" ht="16" x14ac:dyDescent="0.2">
      <c r="A295" s="16">
        <v>145</v>
      </c>
      <c r="B295" s="34">
        <v>43595</v>
      </c>
      <c r="C295" s="105">
        <v>6</v>
      </c>
      <c r="D295" s="17" t="str">
        <f>IF(C295=1,"Roßstr. 9",IF(C295=2,"Pfalzstr. 17",IF(C295=3,"Schlossstr. 19",IF(C295=4,"Neanderstr. 15",IF(C295=5,"Luisenstr. 3",IF(C295=6,"Lindenstr. 267",IF(C295=7,"Engerstr. 3",IF(C295=8,"Schützenstr. 20",IF(C295=9,"Stockkampstr. 47",IF(C295=10,"Driburgerstr. 8",IF(C295=11,"Kölnerstr. 261",IF(C295=12,"Merowingerstr. 17",IF(C295=13,"Borsigstr. 7",IF(C295=14,"Gerresheimer Landstr. 152",IF(C295=15,"Hoppengarten 15",IF(C295=16,"Hoppengarten 17",IF(C295=17,"Könerstr. 215",IF(C295=18,"Kölnerstr. 217",IF(C295=19,"Alte Bachstr. 25",IF(C295=20,"Kranzstr. 103",IF(C295=21,"Broicherdorfstr. 3",IF(C295=22,"Grafenberger Allee 235",IF(C295=23,"Börnestr. 2",IF(C295=24,"Angerbenden 31",IF(C295=25,"Koppelskamp 10",IF(C295=26,"Koppelskamp 12",IF(C295=27,"Koppelskamp 14",IF(C295=28,"Koppelskamp 8",IF(C295=29,"Bismarckstr. 109",IF(C295=30,"Memelstr. 43",IF(C295=31,"Angermunderstr. 30",IF(C295=32,"Koppelskamp 5",IF(C295=33,"Koppelskamp 5a",IF(C295=34,"Koppelskamp 7",IF(C295=35,"Lintorfer Waldstr. 6",IF(C295=36,"Lintorfer Waldstr. 8",IF(C295=37,"Lintorfer Waldstr. 10",IF(C295=38,"Koloniestr. 205",IF(C295=39,"Metzerstr. 28",IF(C295=40,"Metzerstr. 28a",IF(C295=41,"Spichernstr. 27",IF(C295=42,"Metzerstr. 17",IF(C295=43,"Neumühlerstr. 35",IF(C295=44,"Neumühlerstr. 37",IF(C295=45,"Neumühlerstr. 39",IF(C295=46,"Neumühlerstr. 41",IF(C295=47,"Mündelheimerstr. 3-5",IF(C295=48,"Mendelsohnstr. 3"))))))))))))))))))))))))))))))))))))))))))))))))</f>
        <v>Lindenstr. 267</v>
      </c>
      <c r="E295" s="17" t="s">
        <v>263</v>
      </c>
      <c r="F295" s="17" t="s">
        <v>1084</v>
      </c>
      <c r="G295" s="18" t="s">
        <v>1085</v>
      </c>
      <c r="H295" s="17" t="s">
        <v>13</v>
      </c>
      <c r="I295" s="17" t="s">
        <v>181</v>
      </c>
      <c r="J295" s="17" t="s">
        <v>181</v>
      </c>
      <c r="K295" s="24"/>
    </row>
    <row r="296" spans="1:11" ht="16" x14ac:dyDescent="0.2">
      <c r="A296" s="16">
        <v>146</v>
      </c>
      <c r="B296" s="34">
        <v>43600</v>
      </c>
      <c r="C296" s="105">
        <v>8</v>
      </c>
      <c r="D296" s="17" t="str">
        <f>IF(C296=1,"Roßstr. 9",IF(C296=2,"Pfalzstr. 17",IF(C296=3,"Schlossstr. 19",IF(C296=4,"Neanderstr. 15",IF(C296=5,"Luisenstr. 3",IF(C296=6,"Lindenstr. 267",IF(C296=7,"Engerstr. 3",IF(C296=8,"Schützenstr. 20",IF(C296=9,"Stockkampstr. 47",IF(C296=10,"Driburgerstr. 8",IF(C296=11,"Kölnerstr. 261",IF(C296=12,"Merowingerstr. 17",IF(C296=13,"Borsigstr. 7",IF(C296=14,"Gerresheimer Landstr. 152",IF(C296=15,"Hoppengarten 15",IF(C296=16,"Hoppengarten 17",IF(C296=17,"Könerstr. 215",IF(C296=18,"Kölnerstr. 217",IF(C296=19,"Alte Bachstr. 25",IF(C296=20,"Kranzstr. 103",IF(C296=21,"Broicherdorfstr. 3",IF(C296=22,"Grafenberger Allee 235",IF(C296=23,"Börnestr. 2",IF(C296=24,"Angerbenden 31",IF(C296=25,"Koppelskamp 10",IF(C296=26,"Koppelskamp 12",IF(C296=27,"Koppelskamp 14",IF(C296=28,"Koppelskamp 8",IF(C296=29,"Bismarckstr. 109",IF(C296=30,"Memelstr. 43",IF(C296=31,"Angermunderstr. 30",IF(C296=32,"Koppelskamp 5",IF(C296=33,"Koppelskamp 5a",IF(C296=34,"Koppelskamp 7",IF(C296=35,"Lintorfer Waldstr. 6",IF(C296=36,"Lintorfer Waldstr. 8",IF(C296=37,"Lintorfer Waldstr. 10",IF(C296=38,"Koloniestr. 205",IF(C296=39,"Metzerstr. 28",IF(C296=40,"Metzerstr. 28a",IF(C296=41,"Spichernstr. 27",IF(C296=42,"Metzerstr. 17",IF(C296=43,"Neumühlerstr. 35",IF(C296=44,"Neumühlerstr. 37",IF(C296=45,"Neumühlerstr. 39",IF(C296=46,"Neumühlerstr. 41",IF(C296=47,"Mündelheimerstr. 3-5",IF(C296=48,"Mendelsohnstr. 3"))))))))))))))))))))))))))))))))))))))))))))))))</f>
        <v>Schützenstr. 20</v>
      </c>
      <c r="E296" s="17" t="s">
        <v>32</v>
      </c>
      <c r="F296" s="17" t="s">
        <v>17</v>
      </c>
      <c r="G296" s="18" t="s">
        <v>1086</v>
      </c>
      <c r="H296" s="17" t="s">
        <v>13</v>
      </c>
      <c r="I296" s="17" t="s">
        <v>19</v>
      </c>
      <c r="J296" s="17" t="s">
        <v>19</v>
      </c>
      <c r="K296" s="24"/>
    </row>
    <row r="297" spans="1:11" ht="16" x14ac:dyDescent="0.2">
      <c r="A297" s="16">
        <v>146</v>
      </c>
      <c r="B297" s="34">
        <v>43252</v>
      </c>
      <c r="C297" s="105">
        <v>15</v>
      </c>
      <c r="D297" s="17" t="s">
        <v>398</v>
      </c>
      <c r="E297" s="17" t="s">
        <v>399</v>
      </c>
      <c r="F297" s="17"/>
      <c r="G297" s="18" t="s">
        <v>400</v>
      </c>
      <c r="H297" s="17" t="s">
        <v>13</v>
      </c>
      <c r="I297" s="17" t="s">
        <v>119</v>
      </c>
      <c r="J297" s="17" t="s">
        <v>119</v>
      </c>
    </row>
    <row r="298" spans="1:11" ht="16" x14ac:dyDescent="0.2">
      <c r="A298" s="16">
        <v>147</v>
      </c>
      <c r="B298" s="34">
        <v>43255</v>
      </c>
      <c r="C298" s="105">
        <v>47</v>
      </c>
      <c r="D298" s="17" t="s">
        <v>228</v>
      </c>
      <c r="E298" s="17" t="s">
        <v>401</v>
      </c>
      <c r="F298" s="17" t="s">
        <v>402</v>
      </c>
      <c r="G298" s="18" t="s">
        <v>403</v>
      </c>
      <c r="H298" s="17" t="s">
        <v>13</v>
      </c>
      <c r="I298" s="38" t="s">
        <v>145</v>
      </c>
      <c r="J298" s="21" t="s">
        <v>145</v>
      </c>
      <c r="K298" s="24"/>
    </row>
    <row r="299" spans="1:11" ht="16" x14ac:dyDescent="0.2">
      <c r="A299" s="16">
        <v>147</v>
      </c>
      <c r="B299" s="34">
        <v>43599</v>
      </c>
      <c r="C299" s="105">
        <v>11</v>
      </c>
      <c r="D299" s="17" t="str">
        <f>IF(C299=1,"Roßstr. 9",IF(C299=2,"Pfalzstr. 17",IF(C299=3,"Schlossstr. 19",IF(C299=4,"Neanderstr. 15",IF(C299=5,"Luisenstr. 3",IF(C299=6,"Lindenstr. 267",IF(C299=7,"Engerstr. 3",IF(C299=8,"Schützenstr. 20",IF(C299=9,"Stockkampstr. 47",IF(C299=10,"Driburgerstr. 8",IF(C299=11,"Kölnerstr. 261",IF(C299=12,"Merowingerstr. 17",IF(C299=13,"Borsigstr. 7",IF(C299=14,"Gerresheimer Landstr. 152",IF(C299=15,"Hoppengarten 15",IF(C299=16,"Hoppengarten 17",IF(C299=17,"Könerstr. 215",IF(C299=18,"Kölnerstr. 217",IF(C299=19,"Alte Bachstr. 25",IF(C299=20,"Kranzstr. 103",IF(C299=21,"Broicherdorfstr. 3",IF(C299=22,"Grafenberger Allee 235",IF(C299=23,"Börnestr. 2",IF(C299=24,"Angerbenden 31",IF(C299=25,"Koppelskamp 10",IF(C299=26,"Koppelskamp 12",IF(C299=27,"Koppelskamp 14",IF(C299=28,"Koppelskamp 8",IF(C299=29,"Bismarckstr. 109",IF(C299=30,"Memelstr. 43",IF(C299=31,"Angermunderstr. 30",IF(C299=32,"Koppelskamp 5",IF(C299=33,"Koppelskamp 5a",IF(C299=34,"Koppelskamp 7",IF(C299=35,"Lintorfer Waldstr. 6",IF(C299=36,"Lintorfer Waldstr. 8",IF(C299=37,"Lintorfer Waldstr. 10",IF(C299=38,"Koloniestr. 205",IF(C299=39,"Metzerstr. 28",IF(C299=40,"Metzerstr. 28a",IF(C299=41,"Spichernstr. 27",IF(C299=42,"Metzerstr. 17",IF(C299=43,"Neumühlerstr. 35",IF(C299=44,"Neumühlerstr. 37",IF(C299=45,"Neumühlerstr. 39",IF(C299=46,"Neumühlerstr. 41",IF(C299=47,"Mündelheimerstr. 3-5",IF(C299=48,"Mendelsohnstr. 3"))))))))))))))))))))))))))))))))))))))))))))))))</f>
        <v>Kölnerstr. 261</v>
      </c>
      <c r="E299" s="17" t="s">
        <v>149</v>
      </c>
      <c r="F299" s="17" t="s">
        <v>1087</v>
      </c>
      <c r="G299" s="18" t="s">
        <v>1088</v>
      </c>
      <c r="H299" s="17" t="s">
        <v>13</v>
      </c>
      <c r="I299" s="17" t="s">
        <v>181</v>
      </c>
      <c r="J299" s="17" t="s">
        <v>181</v>
      </c>
      <c r="K299" s="24"/>
    </row>
    <row r="300" spans="1:11" ht="16" x14ac:dyDescent="0.2">
      <c r="A300" s="16">
        <v>148</v>
      </c>
      <c r="B300" s="34">
        <v>43256</v>
      </c>
      <c r="C300" s="105">
        <v>35</v>
      </c>
      <c r="D300" s="17" t="s">
        <v>404</v>
      </c>
      <c r="E300" s="17" t="s">
        <v>401</v>
      </c>
      <c r="F300" s="17" t="s">
        <v>405</v>
      </c>
      <c r="G300" s="18" t="s">
        <v>406</v>
      </c>
      <c r="H300" s="17" t="s">
        <v>13</v>
      </c>
      <c r="I300" s="57" t="s">
        <v>181</v>
      </c>
      <c r="J300" s="72" t="s">
        <v>38</v>
      </c>
      <c r="K300" s="24"/>
    </row>
    <row r="301" spans="1:11" ht="16" x14ac:dyDescent="0.2">
      <c r="A301" s="16">
        <v>148</v>
      </c>
      <c r="B301" s="34">
        <v>43598</v>
      </c>
      <c r="C301" s="105">
        <v>43</v>
      </c>
      <c r="D301" s="17" t="str">
        <f>IF(C301=1,"Roßstr. 9",IF(C301=2,"Pfalzstr. 17",IF(C301=3,"Schlossstr. 19",IF(C301=4,"Neanderstr. 15",IF(C301=5,"Luisenstr. 3",IF(C301=6,"Lindenstr. 267",IF(C301=7,"Engerstr. 3",IF(C301=8,"Schützenstr. 20",IF(C301=9,"Stockkampstr. 47",IF(C301=10,"Driburgerstr. 8",IF(C301=11,"Kölnerstr. 261",IF(C301=12,"Merowingerstr. 17",IF(C301=13,"Borsigstr. 7",IF(C301=14,"Gerresheimer Landstr. 152",IF(C301=15,"Hoppengarten 15",IF(C301=16,"Hoppengarten 17",IF(C301=17,"Könerstr. 215",IF(C301=18,"Kölnerstr. 217",IF(C301=19,"Alte Bachstr. 25",IF(C301=20,"Kranzstr. 103",IF(C301=21,"Broicherdorfstr. 3",IF(C301=22,"Grafenberger Allee 235",IF(C301=23,"Börnestr. 2",IF(C301=24,"Angerbenden 31",IF(C301=25,"Koppelskamp 10",IF(C301=26,"Koppelskamp 12",IF(C301=27,"Koppelskamp 14",IF(C301=28,"Koppelskamp 8",IF(C301=29,"Bismarckstr. 109",IF(C301=30,"Memelstr. 43",IF(C301=31,"Angermunderstr. 30",IF(C301=32,"Koppelskamp 5",IF(C301=33,"Koppelskamp 5a",IF(C301=34,"Koppelskamp 7",IF(C301=35,"Lintorfer Waldstr. 6",IF(C301=36,"Lintorfer Waldstr. 8",IF(C301=37,"Lintorfer Waldstr. 10",IF(C301=38,"Koloniestr. 205",IF(C301=39,"Metzerstr. 28",IF(C301=40,"Metzerstr. 28a",IF(C301=41,"Spichernstr. 27",IF(C301=42,"Metzerstr. 17",IF(C301=43,"Neumühlerstr. 35",IF(C301=44,"Neumühlerstr. 37",IF(C301=45,"Neumühlerstr. 39",IF(C301=46,"Neumühlerstr. 41",IF(C301=47,"Mündelheimerstr. 3-5",IF(C301=48,"Mendelsohnstr. 3"))))))))))))))))))))))))))))))))))))))))))))))))</f>
        <v>Neumühlerstr. 35</v>
      </c>
      <c r="E301" s="17" t="s">
        <v>637</v>
      </c>
      <c r="F301" s="17" t="s">
        <v>17</v>
      </c>
      <c r="G301" s="18" t="s">
        <v>1089</v>
      </c>
      <c r="H301" s="17" t="s">
        <v>13</v>
      </c>
      <c r="I301" s="17" t="s">
        <v>914</v>
      </c>
      <c r="J301" s="17" t="s">
        <v>914</v>
      </c>
      <c r="K301" s="24"/>
    </row>
    <row r="302" spans="1:11" ht="16" x14ac:dyDescent="0.2">
      <c r="A302" s="16">
        <v>149</v>
      </c>
      <c r="B302" s="34">
        <v>43257</v>
      </c>
      <c r="C302" s="105">
        <v>32</v>
      </c>
      <c r="D302" s="17" t="s">
        <v>39</v>
      </c>
      <c r="E302" s="17" t="s">
        <v>40</v>
      </c>
      <c r="F302" s="17" t="s">
        <v>41</v>
      </c>
      <c r="G302" s="18" t="s">
        <v>407</v>
      </c>
      <c r="H302" s="17" t="s">
        <v>13</v>
      </c>
      <c r="I302" s="38" t="s">
        <v>84</v>
      </c>
      <c r="J302" s="38" t="s">
        <v>84</v>
      </c>
      <c r="K302" s="24"/>
    </row>
    <row r="303" spans="1:11" ht="16" x14ac:dyDescent="0.2">
      <c r="A303" s="16">
        <v>149</v>
      </c>
      <c r="B303" s="34">
        <v>43606</v>
      </c>
      <c r="C303" s="105">
        <v>18</v>
      </c>
      <c r="D303" s="17" t="str">
        <f>IF(C303=1,"Roßstr. 9",IF(C303=2,"Pfalzstr. 17",IF(C303=3,"Schlossstr. 19",IF(C303=4,"Neanderstr. 15",IF(C303=5,"Luisenstr. 3",IF(C303=6,"Lindenstr. 267",IF(C303=7,"Engerstr. 3",IF(C303=8,"Schützenstr. 20",IF(C303=9,"Stockkampstr. 47",IF(C303=10,"Driburgerstr. 8",IF(C303=11,"Kölnerstr. 261",IF(C303=12,"Merowingerstr. 17",IF(C303=13,"Borsigstr. 7",IF(C303=14,"Gerresheimer Landstr. 152",IF(C303=15,"Hoppengarten 15",IF(C303=16,"Hoppengarten 17",IF(C303=17,"Könerstr. 215",IF(C303=18,"Kölnerstr. 217",IF(C303=19,"Alte Bachstr. 25",IF(C303=20,"Kranzstr. 103",IF(C303=21,"Broicherdorfstr. 3",IF(C303=22,"Grafenberger Allee 235",IF(C303=23,"Börnestr. 2",IF(C303=24,"Angerbenden 31",IF(C303=25,"Koppelskamp 10",IF(C303=26,"Koppelskamp 12",IF(C303=27,"Koppelskamp 14",IF(C303=28,"Koppelskamp 8",IF(C303=29,"Bismarckstr. 109",IF(C303=30,"Memelstr. 43",IF(C303=31,"Angermunderstr. 30",IF(C303=32,"Koppelskamp 5",IF(C303=33,"Koppelskamp 5a",IF(C303=34,"Koppelskamp 7",IF(C303=35,"Lintorfer Waldstr. 6",IF(C303=36,"Lintorfer Waldstr. 8",IF(C303=37,"Lintorfer Waldstr. 10",IF(C303=38,"Koloniestr. 205",IF(C303=39,"Metzerstr. 28",IF(C303=40,"Metzerstr. 28a",IF(C303=41,"Spichernstr. 27",IF(C303=42,"Metzerstr. 17",IF(C303=43,"Neumühlerstr. 35",IF(C303=44,"Neumühlerstr. 37",IF(C303=45,"Neumühlerstr. 39",IF(C303=46,"Neumühlerstr. 41",IF(C303=47,"Mündelheimerstr. 3-5",IF(C303=48,"Mendelsohnstr. 3"))))))))))))))))))))))))))))))))))))))))))))))))</f>
        <v>Kölnerstr. 217</v>
      </c>
      <c r="E303" s="17" t="s">
        <v>344</v>
      </c>
      <c r="F303" s="17" t="s">
        <v>1090</v>
      </c>
      <c r="G303" s="18" t="s">
        <v>1091</v>
      </c>
      <c r="H303" s="17" t="s">
        <v>13</v>
      </c>
      <c r="I303" s="17" t="s">
        <v>181</v>
      </c>
      <c r="J303" s="21" t="s">
        <v>181</v>
      </c>
      <c r="K303" s="24"/>
    </row>
    <row r="304" spans="1:11" ht="16" x14ac:dyDescent="0.2">
      <c r="A304" s="16">
        <v>150</v>
      </c>
      <c r="B304" s="34">
        <v>43257</v>
      </c>
      <c r="C304" s="105">
        <v>35</v>
      </c>
      <c r="D304" s="17" t="s">
        <v>177</v>
      </c>
      <c r="E304" s="17" t="s">
        <v>408</v>
      </c>
      <c r="F304" s="17" t="s">
        <v>409</v>
      </c>
      <c r="G304" s="18" t="s">
        <v>410</v>
      </c>
      <c r="H304" s="17" t="s">
        <v>13</v>
      </c>
      <c r="I304" s="29" t="s">
        <v>411</v>
      </c>
      <c r="J304" s="29" t="s">
        <v>411</v>
      </c>
      <c r="K304" s="24"/>
    </row>
    <row r="305" spans="1:11" ht="16" x14ac:dyDescent="0.2">
      <c r="A305" s="16">
        <v>150</v>
      </c>
      <c r="B305" s="34">
        <v>43607</v>
      </c>
      <c r="C305" s="105">
        <v>7</v>
      </c>
      <c r="D305" s="17" t="str">
        <f>IF(C305=1,"Roßstr. 9",IF(C305=2,"Pfalzstr. 17",IF(C305=3,"Schlossstr. 19",IF(C305=4,"Neanderstr. 15",IF(C305=5,"Luisenstr. 3",IF(C305=6,"Lindenstr. 267",IF(C305=7,"Engerstr. 3",IF(C305=8,"Schützenstr. 20",IF(C305=9,"Stockkampstr. 47",IF(C305=10,"Driburgerstr. 8",IF(C305=11,"Kölnerstr. 261",IF(C305=12,"Merowingerstr. 17",IF(C305=13,"Borsigstr. 7",IF(C305=14,"Gerresheimer Landstr. 152",IF(C305=15,"Hoppengarten 15",IF(C305=16,"Hoppengarten 17",IF(C305=17,"Könerstr. 215",IF(C305=18,"Kölnerstr. 217",IF(C305=19,"Alte Bachstr. 25",IF(C305=20,"Kranzstr. 103",IF(C305=21,"Broicherdorfstr. 3",IF(C305=22,"Grafenberger Allee 235",IF(C305=23,"Börnestr. 2",IF(C305=24,"Angerbenden 31",IF(C305=25,"Koppelskamp 10",IF(C305=26,"Koppelskamp 12",IF(C305=27,"Koppelskamp 14",IF(C305=28,"Koppelskamp 8",IF(C305=29,"Bismarckstr. 109",IF(C305=30,"Memelstr. 43",IF(C305=31,"Angermunderstr. 30",IF(C305=32,"Koppelskamp 5",IF(C305=33,"Koppelskamp 5a",IF(C305=34,"Koppelskamp 7",IF(C305=35,"Lintorfer Waldstr. 6",IF(C305=36,"Lintorfer Waldstr. 8",IF(C305=37,"Lintorfer Waldstr. 10",IF(C305=38,"Koloniestr. 205",IF(C305=39,"Metzerstr. 28",IF(C305=40,"Metzerstr. 28a",IF(C305=41,"Spichernstr. 27",IF(C305=42,"Metzerstr. 17",IF(C305=43,"Neumühlerstr. 35",IF(C305=44,"Neumühlerstr. 37",IF(C305=45,"Neumühlerstr. 39",IF(C305=46,"Neumühlerstr. 41",IF(C305=47,"Mündelheimerstr. 3-5",IF(C305=48,"Mendelsohnstr. 3"))))))))))))))))))))))))))))))))))))))))))))))))</f>
        <v>Engerstr. 3</v>
      </c>
      <c r="E305" s="17" t="s">
        <v>149</v>
      </c>
      <c r="F305" s="17" t="s">
        <v>17</v>
      </c>
      <c r="G305" s="18" t="s">
        <v>1092</v>
      </c>
      <c r="H305" s="17" t="s">
        <v>13</v>
      </c>
      <c r="I305" s="17" t="s">
        <v>19</v>
      </c>
      <c r="J305" s="17" t="s">
        <v>19</v>
      </c>
      <c r="K305" s="24"/>
    </row>
    <row r="306" spans="1:11" ht="16" x14ac:dyDescent="0.2">
      <c r="A306" s="16">
        <v>151</v>
      </c>
      <c r="B306" s="34">
        <v>43607</v>
      </c>
      <c r="C306" s="105">
        <v>7</v>
      </c>
      <c r="D306" s="17" t="str">
        <f>IF(C306=1,"Roßstr. 9",IF(C306=2,"Pfalzstr. 17",IF(C306=3,"Schlossstr. 19",IF(C306=4,"Neanderstr. 15",IF(C306=5,"Luisenstr. 3",IF(C306=6,"Lindenstr. 267",IF(C306=7,"Engerstr. 3",IF(C306=8,"Schützenstr. 20",IF(C306=9,"Stockkampstr. 47",IF(C306=10,"Driburgerstr. 8",IF(C306=11,"Kölnerstr. 261",IF(C306=12,"Merowingerstr. 17",IF(C306=13,"Borsigstr. 7",IF(C306=14,"Gerresheimer Landstr. 152",IF(C306=15,"Hoppengarten 15",IF(C306=16,"Hoppengarten 17",IF(C306=17,"Könerstr. 215",IF(C306=18,"Kölnerstr. 217",IF(C306=19,"Alte Bachstr. 25",IF(C306=20,"Kranzstr. 103",IF(C306=21,"Broicherdorfstr. 3",IF(C306=22,"Grafenberger Allee 235",IF(C306=23,"Börnestr. 2",IF(C306=24,"Angerbenden 31",IF(C306=25,"Koppelskamp 10",IF(C306=26,"Koppelskamp 12",IF(C306=27,"Koppelskamp 14",IF(C306=28,"Koppelskamp 8",IF(C306=29,"Bismarckstr. 109",IF(C306=30,"Memelstr. 43",IF(C306=31,"Angermunderstr. 30",IF(C306=32,"Koppelskamp 5",IF(C306=33,"Koppelskamp 5a",IF(C306=34,"Koppelskamp 7",IF(C306=35,"Lintorfer Waldstr. 6",IF(C306=36,"Lintorfer Waldstr. 8",IF(C306=37,"Lintorfer Waldstr. 10",IF(C306=38,"Koloniestr. 205",IF(C306=39,"Metzerstr. 28",IF(C306=40,"Metzerstr. 28a",IF(C306=41,"Spichernstr. 27",IF(C306=42,"Metzerstr. 17",IF(C306=43,"Neumühlerstr. 35",IF(C306=44,"Neumühlerstr. 37",IF(C306=45,"Neumühlerstr. 39",IF(C306=46,"Neumühlerstr. 41",IF(C306=47,"Mündelheimerstr. 3-5",IF(C306=48,"Mendelsohnstr. 3"))))))))))))))))))))))))))))))))))))))))))))))))</f>
        <v>Engerstr. 3</v>
      </c>
      <c r="E306" s="17" t="s">
        <v>149</v>
      </c>
      <c r="F306" s="17" t="s">
        <v>17</v>
      </c>
      <c r="G306" s="18" t="s">
        <v>1093</v>
      </c>
      <c r="H306" s="17" t="s">
        <v>13</v>
      </c>
      <c r="I306" s="17" t="s">
        <v>14</v>
      </c>
      <c r="J306" s="17" t="s">
        <v>14</v>
      </c>
      <c r="K306" s="24"/>
    </row>
    <row r="307" spans="1:11" x14ac:dyDescent="0.2">
      <c r="A307" s="16">
        <v>151</v>
      </c>
      <c r="B307" s="34">
        <v>43257</v>
      </c>
      <c r="C307" s="105">
        <v>44</v>
      </c>
      <c r="D307" s="17" t="s">
        <v>75</v>
      </c>
      <c r="E307" s="17" t="s">
        <v>358</v>
      </c>
      <c r="F307" s="17" t="s">
        <v>17</v>
      </c>
      <c r="G307" s="39" t="s">
        <v>412</v>
      </c>
      <c r="H307" s="17" t="s">
        <v>13</v>
      </c>
      <c r="I307" s="17" t="s">
        <v>19</v>
      </c>
      <c r="J307" s="17" t="s">
        <v>19</v>
      </c>
      <c r="K307" s="24"/>
    </row>
    <row r="308" spans="1:11" ht="16" x14ac:dyDescent="0.2">
      <c r="A308" s="16">
        <v>152</v>
      </c>
      <c r="B308" s="34">
        <v>43258</v>
      </c>
      <c r="C308" s="105">
        <v>8</v>
      </c>
      <c r="D308" s="17" t="s">
        <v>161</v>
      </c>
      <c r="E308" s="17" t="s">
        <v>263</v>
      </c>
      <c r="F308" s="17" t="s">
        <v>413</v>
      </c>
      <c r="G308" s="18" t="s">
        <v>414</v>
      </c>
      <c r="H308" s="17" t="s">
        <v>13</v>
      </c>
      <c r="I308" s="17" t="s">
        <v>200</v>
      </c>
      <c r="J308" s="17" t="s">
        <v>200</v>
      </c>
    </row>
    <row r="309" spans="1:11" ht="16" x14ac:dyDescent="0.2">
      <c r="A309" s="16">
        <v>152</v>
      </c>
      <c r="B309" s="34">
        <v>43607</v>
      </c>
      <c r="C309" s="105">
        <v>7</v>
      </c>
      <c r="D309" s="17" t="str">
        <f>IF(C309=1,"Roßstr. 9",IF(C309=2,"Pfalzstr. 17",IF(C309=3,"Schlossstr. 19",IF(C309=4,"Neanderstr. 15",IF(C309=5,"Luisenstr. 3",IF(C309=6,"Lindenstr. 267",IF(C309=7,"Engerstr. 3",IF(C309=8,"Schützenstr. 20",IF(C309=9,"Stockkampstr. 47",IF(C309=10,"Driburgerstr. 8",IF(C309=11,"Kölnerstr. 261",IF(C309=12,"Merowingerstr. 17",IF(C309=13,"Borsigstr. 7",IF(C309=14,"Gerresheimer Landstr. 152",IF(C309=15,"Hoppengarten 15",IF(C309=16,"Hoppengarten 17",IF(C309=17,"Könerstr. 215",IF(C309=18,"Kölnerstr. 217",IF(C309=19,"Alte Bachstr. 25",IF(C309=20,"Kranzstr. 103",IF(C309=21,"Broicherdorfstr. 3",IF(C309=22,"Grafenberger Allee 235",IF(C309=23,"Börnestr. 2",IF(C309=24,"Angerbenden 31",IF(C309=25,"Koppelskamp 10",IF(C309=26,"Koppelskamp 12",IF(C309=27,"Koppelskamp 14",IF(C309=28,"Koppelskamp 8",IF(C309=29,"Bismarckstr. 109",IF(C309=30,"Memelstr. 43",IF(C309=31,"Angermunderstr. 30",IF(C309=32,"Koppelskamp 5",IF(C309=33,"Koppelskamp 5a",IF(C309=34,"Koppelskamp 7",IF(C309=35,"Lintorfer Waldstr. 6",IF(C309=36,"Lintorfer Waldstr. 8",IF(C309=37,"Lintorfer Waldstr. 10",IF(C309=38,"Koloniestr. 205",IF(C309=39,"Metzerstr. 28",IF(C309=40,"Metzerstr. 28a",IF(C309=41,"Spichernstr. 27",IF(C309=42,"Metzerstr. 17",IF(C309=43,"Neumühlerstr. 35",IF(C309=44,"Neumühlerstr. 37",IF(C309=45,"Neumühlerstr. 39",IF(C309=46,"Neumühlerstr. 41",IF(C309=47,"Mündelheimerstr. 3-5",IF(C309=48,"Mendelsohnstr. 3"))))))))))))))))))))))))))))))))))))))))))))))))</f>
        <v>Engerstr. 3</v>
      </c>
      <c r="E309" s="17" t="s">
        <v>149</v>
      </c>
      <c r="F309" s="17" t="s">
        <v>17</v>
      </c>
      <c r="G309" s="18" t="s">
        <v>1094</v>
      </c>
      <c r="H309" s="17" t="s">
        <v>13</v>
      </c>
      <c r="I309" s="38" t="s">
        <v>914</v>
      </c>
      <c r="J309" s="38" t="s">
        <v>914</v>
      </c>
      <c r="K309" s="24"/>
    </row>
    <row r="310" spans="1:11" ht="16" x14ac:dyDescent="0.2">
      <c r="A310" s="16">
        <v>153</v>
      </c>
      <c r="B310" s="34">
        <v>43608</v>
      </c>
      <c r="C310" s="105">
        <v>38</v>
      </c>
      <c r="D310" s="17" t="str">
        <f>IF(C310=1,"Roßstr. 9",IF(C310=2,"Pfalzstr. 17",IF(C310=3,"Schlossstr. 19",IF(C310=4,"Neanderstr. 15",IF(C310=5,"Luisenstr. 3",IF(C310=6,"Lindenstr. 267",IF(C310=7,"Engerstr. 3",IF(C310=8,"Schützenstr. 20",IF(C310=9,"Stockkampstr. 47",IF(C310=10,"Driburgerstr. 8",IF(C310=11,"Kölnerstr. 261",IF(C310=12,"Merowingerstr. 17",IF(C310=13,"Borsigstr. 7",IF(C310=14,"Gerresheimer Landstr. 152",IF(C310=15,"Hoppengarten 15",IF(C310=16,"Hoppengarten 17",IF(C310=17,"Könerstr. 215",IF(C310=18,"Kölnerstr. 217",IF(C310=19,"Alte Bachstr. 25",IF(C310=20,"Kranzstr. 103",IF(C310=21,"Broicherdorfstr. 3",IF(C310=22,"Grafenberger Allee 235",IF(C310=23,"Börnestr. 2",IF(C310=24,"Angerbenden 31",IF(C310=25,"Koppelskamp 10",IF(C310=26,"Koppelskamp 12",IF(C310=27,"Koppelskamp 14",IF(C310=28,"Koppelskamp 8",IF(C310=29,"Bismarckstr. 109",IF(C310=30,"Memelstr. 43",IF(C310=31,"Angermunderstr. 30",IF(C310=32,"Koppelskamp 5",IF(C310=33,"Koppelskamp 5a",IF(C310=34,"Koppelskamp 7",IF(C310=35,"Lintorfer Waldstr. 6",IF(C310=36,"Lintorfer Waldstr. 8",IF(C310=37,"Lintorfer Waldstr. 10",IF(C310=38,"Koloniestr. 205",IF(C310=39,"Metzerstr. 28",IF(C310=40,"Metzerstr. 28a",IF(C310=41,"Spichernstr. 27",IF(C310=42,"Metzerstr. 17",IF(C310=43,"Neumühlerstr. 35",IF(C310=44,"Neumühlerstr. 37",IF(C310=45,"Neumühlerstr. 39",IF(C310=46,"Neumühlerstr. 41",IF(C310=47,"Mündelheimerstr. 3-5",IF(C310=48,"Mendelsohnstr. 3"))))))))))))))))))))))))))))))))))))))))))))))))</f>
        <v>Koloniestr. 205</v>
      </c>
      <c r="E310" s="17" t="s">
        <v>523</v>
      </c>
      <c r="F310" s="17"/>
      <c r="G310" s="18" t="s">
        <v>1095</v>
      </c>
      <c r="H310" s="17" t="s">
        <v>13</v>
      </c>
      <c r="I310" s="17" t="s">
        <v>14</v>
      </c>
      <c r="J310" s="17" t="s">
        <v>1096</v>
      </c>
    </row>
    <row r="311" spans="1:11" ht="16" x14ac:dyDescent="0.2">
      <c r="A311" s="16">
        <v>153</v>
      </c>
      <c r="B311" s="34">
        <v>43258</v>
      </c>
      <c r="C311" s="105">
        <v>39</v>
      </c>
      <c r="D311" s="17" t="s">
        <v>152</v>
      </c>
      <c r="E311" s="17" t="s">
        <v>10</v>
      </c>
      <c r="F311" s="17" t="s">
        <v>153</v>
      </c>
      <c r="G311" s="18" t="s">
        <v>415</v>
      </c>
      <c r="H311" s="17" t="s">
        <v>13</v>
      </c>
      <c r="I311" s="17" t="s">
        <v>45</v>
      </c>
      <c r="J311" s="17" t="s">
        <v>45</v>
      </c>
    </row>
    <row r="312" spans="1:11" ht="16" x14ac:dyDescent="0.2">
      <c r="A312" s="16">
        <v>154</v>
      </c>
      <c r="B312" s="34">
        <v>43258</v>
      </c>
      <c r="C312" s="105">
        <v>43</v>
      </c>
      <c r="D312" s="17" t="s">
        <v>417</v>
      </c>
      <c r="E312" s="17" t="s">
        <v>60</v>
      </c>
      <c r="F312" s="17" t="s">
        <v>254</v>
      </c>
      <c r="G312" s="18" t="s">
        <v>418</v>
      </c>
      <c r="H312" s="17" t="s">
        <v>13</v>
      </c>
      <c r="I312" s="17" t="s">
        <v>145</v>
      </c>
      <c r="J312" s="17" t="s">
        <v>145</v>
      </c>
    </row>
    <row r="313" spans="1:11" ht="16" x14ac:dyDescent="0.2">
      <c r="A313" s="16">
        <v>154</v>
      </c>
      <c r="B313" s="34">
        <v>43609</v>
      </c>
      <c r="C313" s="105">
        <v>11</v>
      </c>
      <c r="D313" s="17" t="str">
        <f>IF(C313=1,"Roßstr. 9",IF(C313=2,"Pfalzstr. 17",IF(C313=3,"Schlossstr. 19",IF(C313=4,"Neanderstr. 15",IF(C313=5,"Luisenstr. 3",IF(C313=6,"Lindenstr. 267",IF(C313=7,"Engerstr. 3",IF(C313=8,"Schützenstr. 20",IF(C313=9,"Stockkampstr. 47",IF(C313=10,"Driburgerstr. 8",IF(C313=11,"Kölnerstr. 261",IF(C313=12,"Merowingerstr. 17",IF(C313=13,"Borsigstr. 7",IF(C313=14,"Gerresheimer Landstr. 152",IF(C313=15,"Hoppengarten 15",IF(C313=16,"Hoppengarten 17",IF(C313=17,"Könerstr. 215",IF(C313=18,"Kölnerstr. 217",IF(C313=19,"Alte Bachstr. 25",IF(C313=20,"Kranzstr. 103",IF(C313=21,"Broicherdorfstr. 3",IF(C313=22,"Grafenberger Allee 235",IF(C313=23,"Börnestr. 2",IF(C313=24,"Angerbenden 31",IF(C313=25,"Koppelskamp 10",IF(C313=26,"Koppelskamp 12",IF(C313=27,"Koppelskamp 14",IF(C313=28,"Koppelskamp 8",IF(C313=29,"Bismarckstr. 109",IF(C313=30,"Memelstr. 43",IF(C313=31,"Angermunderstr. 30",IF(C313=32,"Koppelskamp 5",IF(C313=33,"Koppelskamp 5a",IF(C313=34,"Koppelskamp 7",IF(C313=35,"Lintorfer Waldstr. 6",IF(C313=36,"Lintorfer Waldstr. 8",IF(C313=37,"Lintorfer Waldstr. 10",IF(C313=38,"Koloniestr. 205",IF(C313=39,"Metzerstr. 28",IF(C313=40,"Metzerstr. 28a",IF(C313=41,"Spichernstr. 27",IF(C313=42,"Metzerstr. 17",IF(C313=43,"Neumühlerstr. 35",IF(C313=44,"Neumühlerstr. 37",IF(C313=45,"Neumühlerstr. 39",IF(C313=46,"Neumühlerstr. 41",IF(C313=47,"Mündelheimerstr. 3-5",IF(C313=48,"Mendelsohnstr. 3"))))))))))))))))))))))))))))))))))))))))))))))))</f>
        <v>Kölnerstr. 261</v>
      </c>
      <c r="E313" s="17" t="s">
        <v>10</v>
      </c>
      <c r="F313" s="17" t="s">
        <v>1097</v>
      </c>
      <c r="G313" s="18" t="s">
        <v>1098</v>
      </c>
      <c r="H313" s="17" t="s">
        <v>13</v>
      </c>
      <c r="I313" s="17" t="s">
        <v>909</v>
      </c>
      <c r="J313" s="21" t="s">
        <v>909</v>
      </c>
    </row>
    <row r="314" spans="1:11" ht="16" x14ac:dyDescent="0.2">
      <c r="A314" s="16">
        <v>155</v>
      </c>
      <c r="B314" s="34">
        <v>43259</v>
      </c>
      <c r="C314" s="105">
        <v>23</v>
      </c>
      <c r="D314" s="17" t="s">
        <v>419</v>
      </c>
      <c r="E314" s="17" t="s">
        <v>94</v>
      </c>
      <c r="F314" s="17" t="s">
        <v>420</v>
      </c>
      <c r="G314" s="18" t="s">
        <v>421</v>
      </c>
      <c r="H314" s="17" t="s">
        <v>13</v>
      </c>
      <c r="I314" s="17" t="s">
        <v>84</v>
      </c>
      <c r="J314" s="17" t="s">
        <v>84</v>
      </c>
    </row>
    <row r="315" spans="1:11" ht="32" x14ac:dyDescent="0.2">
      <c r="A315" s="16">
        <v>155</v>
      </c>
      <c r="B315" s="34">
        <v>43609</v>
      </c>
      <c r="C315" s="105">
        <v>11</v>
      </c>
      <c r="D315" s="17" t="str">
        <f>IF(C315=1,"Roßstr. 9",IF(C315=2,"Pfalzstr. 17",IF(C315=3,"Schlossstr. 19",IF(C315=4,"Neanderstr. 15",IF(C315=5,"Luisenstr. 3",IF(C315=6,"Lindenstr. 267",IF(C315=7,"Engerstr. 3",IF(C315=8,"Schützenstr. 20",IF(C315=9,"Stockkampstr. 47",IF(C315=10,"Driburgerstr. 8",IF(C315=11,"Kölnerstr. 261",IF(C315=12,"Merowingerstr. 17",IF(C315=13,"Borsigstr. 7",IF(C315=14,"Gerresheimer Landstr. 152",IF(C315=15,"Hoppengarten 15",IF(C315=16,"Hoppengarten 17",IF(C315=17,"Könerstr. 215",IF(C315=18,"Kölnerstr. 217",IF(C315=19,"Alte Bachstr. 25",IF(C315=20,"Kranzstr. 103",IF(C315=21,"Broicherdorfstr. 3",IF(C315=22,"Grafenberger Allee 235",IF(C315=23,"Börnestr. 2",IF(C315=24,"Angerbenden 31",IF(C315=25,"Koppelskamp 10",IF(C315=26,"Koppelskamp 12",IF(C315=27,"Koppelskamp 14",IF(C315=28,"Koppelskamp 8",IF(C315=29,"Bismarckstr. 109",IF(C315=30,"Memelstr. 43",IF(C315=31,"Angermunderstr. 30",IF(C315=32,"Koppelskamp 5",IF(C315=33,"Koppelskamp 5a",IF(C315=34,"Koppelskamp 7",IF(C315=35,"Lintorfer Waldstr. 6",IF(C315=36,"Lintorfer Waldstr. 8",IF(C315=37,"Lintorfer Waldstr. 10",IF(C315=38,"Koloniestr. 205",IF(C315=39,"Metzerstr. 28",IF(C315=40,"Metzerstr. 28a",IF(C315=41,"Spichernstr. 27",IF(C315=42,"Metzerstr. 17",IF(C315=43,"Neumühlerstr. 35",IF(C315=44,"Neumühlerstr. 37",IF(C315=45,"Neumühlerstr. 39",IF(C315=46,"Neumühlerstr. 41",IF(C315=47,"Mündelheimerstr. 3-5",IF(C315=48,"Mendelsohnstr. 3"))))))))))))))))))))))))))))))))))))))))))))))))</f>
        <v>Kölnerstr. 261</v>
      </c>
      <c r="E315" s="17" t="s">
        <v>32</v>
      </c>
      <c r="F315" s="17" t="s">
        <v>325</v>
      </c>
      <c r="G315" s="18" t="s">
        <v>1099</v>
      </c>
      <c r="H315" s="17" t="s">
        <v>13</v>
      </c>
      <c r="I315" s="17" t="s">
        <v>909</v>
      </c>
      <c r="J315" s="21" t="s">
        <v>909</v>
      </c>
    </row>
    <row r="316" spans="1:11" ht="16" x14ac:dyDescent="0.2">
      <c r="A316" s="16">
        <v>156</v>
      </c>
      <c r="B316" s="34">
        <v>43259</v>
      </c>
      <c r="C316" s="105">
        <v>35</v>
      </c>
      <c r="D316" s="17" t="s">
        <v>177</v>
      </c>
      <c r="E316" s="17" t="s">
        <v>197</v>
      </c>
      <c r="F316" s="17" t="s">
        <v>422</v>
      </c>
      <c r="G316" s="18" t="s">
        <v>392</v>
      </c>
      <c r="H316" s="17" t="s">
        <v>13</v>
      </c>
      <c r="I316" s="21" t="s">
        <v>423</v>
      </c>
      <c r="J316" s="21" t="s">
        <v>423</v>
      </c>
    </row>
    <row r="317" spans="1:11" ht="32" x14ac:dyDescent="0.2">
      <c r="A317" s="16">
        <v>156</v>
      </c>
      <c r="B317" s="34">
        <v>43609</v>
      </c>
      <c r="C317" s="105">
        <v>11</v>
      </c>
      <c r="D317" s="17" t="str">
        <f>IF(C317=1,"Roßstr. 9",IF(C317=2,"Pfalzstr. 17",IF(C317=3,"Schlossstr. 19",IF(C317=4,"Neanderstr. 15",IF(C317=5,"Luisenstr. 3",IF(C317=6,"Lindenstr. 267",IF(C317=7,"Engerstr. 3",IF(C317=8,"Schützenstr. 20",IF(C317=9,"Stockkampstr. 47",IF(C317=10,"Driburgerstr. 8",IF(C317=11,"Kölnerstr. 261",IF(C317=12,"Merowingerstr. 17",IF(C317=13,"Borsigstr. 7",IF(C317=14,"Gerresheimer Landstr. 152",IF(C317=15,"Hoppengarten 15",IF(C317=16,"Hoppengarten 17",IF(C317=17,"Könerstr. 215",IF(C317=18,"Kölnerstr. 217",IF(C317=19,"Alte Bachstr. 25",IF(C317=20,"Kranzstr. 103",IF(C317=21,"Broicherdorfstr. 3",IF(C317=22,"Grafenberger Allee 235",IF(C317=23,"Börnestr. 2",IF(C317=24,"Angerbenden 31",IF(C317=25,"Koppelskamp 10",IF(C317=26,"Koppelskamp 12",IF(C317=27,"Koppelskamp 14",IF(C317=28,"Koppelskamp 8",IF(C317=29,"Bismarckstr. 109",IF(C317=30,"Memelstr. 43",IF(C317=31,"Angermunderstr. 30",IF(C317=32,"Koppelskamp 5",IF(C317=33,"Koppelskamp 5a",IF(C317=34,"Koppelskamp 7",IF(C317=35,"Lintorfer Waldstr. 6",IF(C317=36,"Lintorfer Waldstr. 8",IF(C317=37,"Lintorfer Waldstr. 10",IF(C317=38,"Koloniestr. 205",IF(C317=39,"Metzerstr. 28",IF(C317=40,"Metzerstr. 28a",IF(C317=41,"Spichernstr. 27",IF(C317=42,"Metzerstr. 17",IF(C317=43,"Neumühlerstr. 35",IF(C317=44,"Neumühlerstr. 37",IF(C317=45,"Neumühlerstr. 39",IF(C317=46,"Neumühlerstr. 41",IF(C317=47,"Mündelheimerstr. 3-5",IF(C317=48,"Mendelsohnstr. 3"))))))))))))))))))))))))))))))))))))))))))))))))</f>
        <v>Kölnerstr. 261</v>
      </c>
      <c r="E317" s="17" t="s">
        <v>149</v>
      </c>
      <c r="F317" s="17" t="s">
        <v>1077</v>
      </c>
      <c r="G317" s="18" t="s">
        <v>1100</v>
      </c>
      <c r="H317" s="17" t="s">
        <v>13</v>
      </c>
      <c r="I317" s="17" t="s">
        <v>909</v>
      </c>
      <c r="J317" s="21" t="s">
        <v>909</v>
      </c>
    </row>
    <row r="318" spans="1:11" ht="16" x14ac:dyDescent="0.2">
      <c r="A318" s="16">
        <v>157</v>
      </c>
      <c r="B318" s="34">
        <v>43263</v>
      </c>
      <c r="C318" s="105">
        <v>2</v>
      </c>
      <c r="D318" s="17" t="s">
        <v>148</v>
      </c>
      <c r="E318" s="17" t="s">
        <v>138</v>
      </c>
      <c r="F318" s="17" t="s">
        <v>250</v>
      </c>
      <c r="G318" s="18" t="s">
        <v>424</v>
      </c>
      <c r="H318" s="17" t="s">
        <v>13</v>
      </c>
      <c r="I318" s="17" t="s">
        <v>45</v>
      </c>
      <c r="J318" s="17" t="s">
        <v>45</v>
      </c>
    </row>
    <row r="319" spans="1:11" ht="16" x14ac:dyDescent="0.2">
      <c r="A319" s="16">
        <v>157</v>
      </c>
      <c r="B319" s="34">
        <v>43614</v>
      </c>
      <c r="C319" s="105">
        <v>19</v>
      </c>
      <c r="D319" s="17" t="str">
        <f>IF(C319=1,"Roßstr. 9",IF(C319=2,"Pfalzstr. 17",IF(C319=3,"Schlossstr. 19",IF(C319=4,"Neanderstr. 15",IF(C319=5,"Luisenstr. 3",IF(C319=6,"Lindenstr. 267",IF(C319=7,"Engerstr. 3",IF(C319=8,"Schützenstr. 20",IF(C319=9,"Stockkampstr. 47",IF(C319=10,"Driburgerstr. 8",IF(C319=11,"Kölnerstr. 261",IF(C319=12,"Merowingerstr. 17",IF(C319=13,"Borsigstr. 7",IF(C319=14,"Gerresheimer Landstr. 152",IF(C319=15,"Hoppengarten 15",IF(C319=16,"Hoppengarten 17",IF(C319=17,"Könerstr. 215",IF(C319=18,"Kölnerstr. 217",IF(C319=19,"Alte Bachstr. 25",IF(C319=20,"Kranzstr. 103",IF(C319=21,"Broicherdorfstr. 3",IF(C319=22,"Grafenberger Allee 235",IF(C319=23,"Börnestr. 2",IF(C319=24,"Angerbenden 31",IF(C319=25,"Koppelskamp 10",IF(C319=26,"Koppelskamp 12",IF(C319=27,"Koppelskamp 14",IF(C319=28,"Koppelskamp 8",IF(C319=29,"Bismarckstr. 109",IF(C319=30,"Memelstr. 43",IF(C319=31,"Angermunderstr. 30",IF(C319=32,"Koppelskamp 5",IF(C319=33,"Koppelskamp 5a",IF(C319=34,"Koppelskamp 7",IF(C319=35,"Lintorfer Waldstr. 6",IF(C319=36,"Lintorfer Waldstr. 8",IF(C319=37,"Lintorfer Waldstr. 10",IF(C319=38,"Koloniestr. 205",IF(C319=39,"Metzerstr. 28",IF(C319=40,"Metzerstr. 28a",IF(C319=41,"Spichernstr. 27",IF(C319=42,"Metzerstr. 17",IF(C319=43,"Neumühlerstr. 35",IF(C319=44,"Neumühlerstr. 37",IF(C319=45,"Neumühlerstr. 39",IF(C319=46,"Neumühlerstr. 41",IF(C319=47,"Mündelheimerstr. 3-5",IF(C319=48,"Mendelsohnstr. 3"))))))))))))))))))))))))))))))))))))))))))))))))</f>
        <v>Alte Bachstr. 25</v>
      </c>
      <c r="E319" s="17" t="s">
        <v>434</v>
      </c>
      <c r="F319" s="17" t="s">
        <v>1101</v>
      </c>
      <c r="G319" s="18" t="s">
        <v>1102</v>
      </c>
      <c r="H319" s="17" t="s">
        <v>13</v>
      </c>
      <c r="I319" s="17" t="s">
        <v>306</v>
      </c>
      <c r="J319" s="17" t="s">
        <v>119</v>
      </c>
    </row>
    <row r="320" spans="1:11" ht="16" x14ac:dyDescent="0.2">
      <c r="A320" s="16">
        <v>158</v>
      </c>
      <c r="B320" s="34">
        <v>43265</v>
      </c>
      <c r="C320" s="105">
        <v>41</v>
      </c>
      <c r="D320" s="17" t="s">
        <v>26</v>
      </c>
      <c r="E320" s="17" t="s">
        <v>264</v>
      </c>
      <c r="F320" s="17"/>
      <c r="G320" s="18" t="s">
        <v>425</v>
      </c>
      <c r="H320" s="17" t="s">
        <v>13</v>
      </c>
      <c r="I320" s="17" t="s">
        <v>145</v>
      </c>
      <c r="J320" s="17" t="s">
        <v>145</v>
      </c>
    </row>
    <row r="321" spans="1:11" ht="16" x14ac:dyDescent="0.2">
      <c r="A321" s="16">
        <v>158</v>
      </c>
      <c r="B321" s="34">
        <v>43613</v>
      </c>
      <c r="C321" s="105">
        <v>19</v>
      </c>
      <c r="D321" s="17" t="str">
        <f>IF(C321=1,"Roßstr. 9",IF(C321=2,"Pfalzstr. 17",IF(C321=3,"Schlossstr. 19",IF(C321=4,"Neanderstr. 15",IF(C321=5,"Luisenstr. 3",IF(C321=6,"Lindenstr. 267",IF(C321=7,"Engerstr. 3",IF(C321=8,"Schützenstr. 20",IF(C321=9,"Stockkampstr. 47",IF(C321=10,"Driburgerstr. 8",IF(C321=11,"Kölnerstr. 261",IF(C321=12,"Merowingerstr. 17",IF(C321=13,"Borsigstr. 7",IF(C321=14,"Gerresheimer Landstr. 152",IF(C321=15,"Hoppengarten 15",IF(C321=16,"Hoppengarten 17",IF(C321=17,"Könerstr. 215",IF(C321=18,"Kölnerstr. 217",IF(C321=19,"Alte Bachstr. 25",IF(C321=20,"Kranzstr. 103",IF(C321=21,"Broicherdorfstr. 3",IF(C321=22,"Grafenberger Allee 235",IF(C321=23,"Börnestr. 2",IF(C321=24,"Angerbenden 31",IF(C321=25,"Koppelskamp 10",IF(C321=26,"Koppelskamp 12",IF(C321=27,"Koppelskamp 14",IF(C321=28,"Koppelskamp 8",IF(C321=29,"Bismarckstr. 109",IF(C321=30,"Memelstr. 43",IF(C321=31,"Angermunderstr. 30",IF(C321=32,"Koppelskamp 5",IF(C321=33,"Koppelskamp 5a",IF(C321=34,"Koppelskamp 7",IF(C321=35,"Lintorfer Waldstr. 6",IF(C321=36,"Lintorfer Waldstr. 8",IF(C321=37,"Lintorfer Waldstr. 10",IF(C321=38,"Koloniestr. 205",IF(C321=39,"Metzerstr. 28",IF(C321=40,"Metzerstr. 28a",IF(C321=41,"Spichernstr. 27",IF(C321=42,"Metzerstr. 17",IF(C321=43,"Neumühlerstr. 35",IF(C321=44,"Neumühlerstr. 37",IF(C321=45,"Neumühlerstr. 39",IF(C321=46,"Neumühlerstr. 41",IF(C321=47,"Mündelheimerstr. 3-5",IF(C321=48,"Mendelsohnstr. 3"))))))))))))))))))))))))))))))))))))))))))))))))</f>
        <v>Alte Bachstr. 25</v>
      </c>
      <c r="E321" s="17" t="s">
        <v>1103</v>
      </c>
      <c r="F321" s="17" t="s">
        <v>17</v>
      </c>
      <c r="G321" s="18" t="s">
        <v>1104</v>
      </c>
      <c r="H321" s="17" t="s">
        <v>13</v>
      </c>
      <c r="I321" s="17" t="s">
        <v>914</v>
      </c>
      <c r="J321" s="17" t="s">
        <v>914</v>
      </c>
    </row>
    <row r="322" spans="1:11" ht="16" x14ac:dyDescent="0.2">
      <c r="A322" s="16">
        <v>159</v>
      </c>
      <c r="B322" s="34">
        <v>43269</v>
      </c>
      <c r="C322" s="105">
        <v>1</v>
      </c>
      <c r="D322" s="17" t="s">
        <v>390</v>
      </c>
      <c r="E322" s="17" t="s">
        <v>129</v>
      </c>
      <c r="F322" s="17" t="s">
        <v>394</v>
      </c>
      <c r="G322" s="18" t="s">
        <v>426</v>
      </c>
      <c r="H322" s="17" t="s">
        <v>58</v>
      </c>
      <c r="I322" s="29" t="s">
        <v>427</v>
      </c>
      <c r="J322" s="29" t="s">
        <v>14</v>
      </c>
    </row>
    <row r="323" spans="1:11" ht="16" x14ac:dyDescent="0.2">
      <c r="A323" s="16">
        <v>159</v>
      </c>
      <c r="B323" s="34">
        <v>43619</v>
      </c>
      <c r="C323" s="105">
        <v>18</v>
      </c>
      <c r="D323" s="17" t="str">
        <f>IF(C323=1,"Roßstr. 9",IF(C323=2,"Pfalzstr. 17",IF(C323=3,"Schlossstr. 19",IF(C323=4,"Neanderstr. 15",IF(C323=5,"Luisenstr. 3",IF(C323=6,"Lindenstr. 267",IF(C323=7,"Engerstr. 3",IF(C323=8,"Schützenstr. 20",IF(C323=9,"Stockkampstr. 47",IF(C323=10,"Driburgerstr. 8",IF(C323=11,"Kölnerstr. 261",IF(C323=12,"Merowingerstr. 17",IF(C323=13,"Borsigstr. 7",IF(C323=14,"Gerresheimer Landstr. 152",IF(C323=15,"Hoppengarten 15",IF(C323=16,"Hoppengarten 17",IF(C323=17,"Könerstr. 215",IF(C323=18,"Kölnerstr. 217",IF(C323=19,"Alte Bachstr. 25",IF(C323=20,"Kranzstr. 103",IF(C323=21,"Broicherdorfstr. 3",IF(C323=22,"Grafenberger Allee 235",IF(C323=23,"Börnestr. 2",IF(C323=24,"Angerbenden 31",IF(C323=25,"Koppelskamp 10",IF(C323=26,"Koppelskamp 12",IF(C323=27,"Koppelskamp 14",IF(C323=28,"Koppelskamp 8",IF(C323=29,"Bismarckstr. 109",IF(C323=30,"Memelstr. 43",IF(C323=31,"Angermunderstr. 30",IF(C323=32,"Koppelskamp 5",IF(C323=33,"Koppelskamp 5a",IF(C323=34,"Koppelskamp 7",IF(C323=35,"Lintorfer Waldstr. 6",IF(C323=36,"Lintorfer Waldstr. 8",IF(C323=37,"Lintorfer Waldstr. 10",IF(C323=38,"Koloniestr. 205",IF(C323=39,"Metzerstr. 28",IF(C323=40,"Metzerstr. 28a",IF(C323=41,"Spichernstr. 27",IF(C323=42,"Metzerstr. 17",IF(C323=43,"Neumühlerstr. 35",IF(C323=44,"Neumühlerstr. 37",IF(C323=45,"Neumühlerstr. 39",IF(C323=46,"Neumühlerstr. 41",IF(C323=47,"Mündelheimerstr. 3-5",IF(C323=48,"Mendelsohnstr. 3"))))))))))))))))))))))))))))))))))))))))))))))))</f>
        <v>Kölnerstr. 217</v>
      </c>
      <c r="E323" s="17" t="s">
        <v>1105</v>
      </c>
      <c r="F323" s="17" t="s">
        <v>1106</v>
      </c>
      <c r="G323" s="18" t="s">
        <v>1107</v>
      </c>
      <c r="H323" s="17" t="s">
        <v>23</v>
      </c>
      <c r="I323" s="17" t="s">
        <v>14</v>
      </c>
      <c r="J323" s="17" t="s">
        <v>14</v>
      </c>
    </row>
    <row r="324" spans="1:11" ht="16" x14ac:dyDescent="0.2">
      <c r="A324" s="16">
        <v>160</v>
      </c>
      <c r="B324" s="34">
        <v>43270</v>
      </c>
      <c r="C324" s="105">
        <v>18</v>
      </c>
      <c r="D324" s="17" t="s">
        <v>343</v>
      </c>
      <c r="E324" s="17" t="s">
        <v>428</v>
      </c>
      <c r="F324" s="17" t="s">
        <v>209</v>
      </c>
      <c r="G324" s="18" t="s">
        <v>429</v>
      </c>
      <c r="H324" s="17" t="s">
        <v>13</v>
      </c>
      <c r="I324" s="17" t="s">
        <v>200</v>
      </c>
      <c r="J324" s="17" t="s">
        <v>200</v>
      </c>
    </row>
    <row r="325" spans="1:11" ht="16" x14ac:dyDescent="0.2">
      <c r="A325" s="16">
        <v>160</v>
      </c>
      <c r="B325" s="34">
        <v>43620</v>
      </c>
      <c r="C325" s="105">
        <v>32</v>
      </c>
      <c r="D325" s="17" t="str">
        <f>IF(C325=1,"Roßstr. 9",IF(C325=2,"Pfalzstr. 17",IF(C325=3,"Schlossstr. 19",IF(C325=4,"Neanderstr. 15",IF(C325=5,"Luisenstr. 3",IF(C325=6,"Lindenstr. 267",IF(C325=7,"Engerstr. 3",IF(C325=8,"Schützenstr. 20",IF(C325=9,"Stockkampstr. 47",IF(C325=10,"Driburgerstr. 8",IF(C325=11,"Kölnerstr. 261",IF(C325=12,"Merowingerstr. 17",IF(C325=13,"Borsigstr. 7",IF(C325=14,"Gerresheimer Landstr. 152",IF(C325=15,"Hoppengarten 15",IF(C325=16,"Hoppengarten 17",IF(C325=17,"Könerstr. 215",IF(C325=18,"Kölnerstr. 217",IF(C325=19,"Alte Bachstr. 25",IF(C325=20,"Kranzstr. 103",IF(C325=21,"Broicherdorfstr. 3",IF(C325=22,"Grafenberger Allee 235",IF(C325=23,"Börnestr. 2",IF(C325=24,"Angerbenden 31",IF(C325=25,"Koppelskamp 10",IF(C325=26,"Koppelskamp 12",IF(C325=27,"Koppelskamp 14",IF(C325=28,"Koppelskamp 8",IF(C325=29,"Bismarckstr. 109",IF(C325=30,"Memelstr. 43",IF(C325=31,"Angermunderstr. 30",IF(C325=32,"Koppelskamp 5",IF(C325=33,"Koppelskamp 5a",IF(C325=34,"Koppelskamp 7",IF(C325=35,"Lintorfer Waldstr. 6",IF(C325=36,"Lintorfer Waldstr. 8",IF(C325=37,"Lintorfer Waldstr. 10",IF(C325=38,"Koloniestr. 205",IF(C325=39,"Metzerstr. 28",IF(C325=40,"Metzerstr. 28a",IF(C325=41,"Spichernstr. 27",IF(C325=42,"Metzerstr. 17",IF(C325=43,"Neumühlerstr. 35",IF(C325=44,"Neumühlerstr. 37",IF(C325=45,"Neumühlerstr. 39",IF(C325=46,"Neumühlerstr. 41",IF(C325=47,"Mündelheimerstr. 3-5",IF(C325=48,"Mendelsohnstr. 3"))))))))))))))))))))))))))))))))))))))))))))))))</f>
        <v>Koppelskamp 5</v>
      </c>
      <c r="E325" s="17" t="s">
        <v>1108</v>
      </c>
      <c r="F325" s="17"/>
      <c r="G325" s="18" t="s">
        <v>446</v>
      </c>
      <c r="H325" s="17" t="s">
        <v>58</v>
      </c>
      <c r="I325" s="17" t="s">
        <v>76</v>
      </c>
      <c r="J325" s="17" t="s">
        <v>76</v>
      </c>
    </row>
    <row r="326" spans="1:11" ht="16" x14ac:dyDescent="0.2">
      <c r="A326" s="16">
        <v>161</v>
      </c>
      <c r="B326" s="34">
        <v>43622</v>
      </c>
      <c r="C326" s="105">
        <v>45</v>
      </c>
      <c r="D326" s="17" t="str">
        <f>IF(C326=1,"Roßstr. 9",IF(C326=2,"Pfalzstr. 17",IF(C326=3,"Schlossstr. 19",IF(C326=4,"Neanderstr. 15",IF(C326=5,"Luisenstr. 3",IF(C326=6,"Lindenstr. 267",IF(C326=7,"Engerstr. 3",IF(C326=8,"Schützenstr. 20",IF(C326=9,"Stockkampstr. 47",IF(C326=10,"Driburgerstr. 8",IF(C326=11,"Kölnerstr. 261",IF(C326=12,"Merowingerstr. 17",IF(C326=13,"Borsigstr. 7",IF(C326=14,"Gerresheimer Landstr. 152",IF(C326=15,"Hoppengarten 15",IF(C326=16,"Hoppengarten 17",IF(C326=17,"Könerstr. 215",IF(C326=18,"Kölnerstr. 217",IF(C326=19,"Alte Bachstr. 25",IF(C326=20,"Kranzstr. 103",IF(C326=21,"Broicherdorfstr. 3",IF(C326=22,"Grafenberger Allee 235",IF(C326=23,"Börnestr. 2",IF(C326=24,"Angerbenden 31",IF(C326=25,"Koppelskamp 10",IF(C326=26,"Koppelskamp 12",IF(C326=27,"Koppelskamp 14",IF(C326=28,"Koppelskamp 8",IF(C326=29,"Bismarckstr. 109",IF(C326=30,"Memelstr. 43",IF(C326=31,"Angermunderstr. 30",IF(C326=32,"Koppelskamp 5",IF(C326=33,"Koppelskamp 5a",IF(C326=34,"Koppelskamp 7",IF(C326=35,"Lintorfer Waldstr. 6",IF(C326=36,"Lintorfer Waldstr. 8",IF(C326=37,"Lintorfer Waldstr. 10",IF(C326=38,"Koloniestr. 205",IF(C326=39,"Metzerstr. 28",IF(C326=40,"Metzerstr. 28a",IF(C326=41,"Spichernstr. 27",IF(C326=42,"Metzerstr. 17",IF(C326=43,"Neumühlerstr. 35",IF(C326=44,"Neumühlerstr. 37",IF(C326=45,"Neumühlerstr. 39",IF(C326=46,"Neumühlerstr. 41",IF(C326=47,"Mündelheimerstr. 3-5",IF(C326=48,"Mendelsohnstr. 3"))))))))))))))))))))))))))))))))))))))))))))))))</f>
        <v>Neumühlerstr. 39</v>
      </c>
      <c r="E326" s="17" t="s">
        <v>1109</v>
      </c>
      <c r="F326" s="17" t="s">
        <v>1110</v>
      </c>
      <c r="G326" s="18" t="s">
        <v>1111</v>
      </c>
      <c r="H326" s="17" t="s">
        <v>23</v>
      </c>
      <c r="I326" s="17" t="s">
        <v>30</v>
      </c>
      <c r="J326" s="17" t="s">
        <v>30</v>
      </c>
    </row>
    <row r="327" spans="1:11" ht="16" x14ac:dyDescent="0.2">
      <c r="A327" s="16">
        <v>161</v>
      </c>
      <c r="B327" s="34">
        <v>43271</v>
      </c>
      <c r="C327" s="105">
        <v>41</v>
      </c>
      <c r="D327" s="17" t="s">
        <v>26</v>
      </c>
      <c r="E327" s="17" t="s">
        <v>129</v>
      </c>
      <c r="F327" s="17" t="s">
        <v>430</v>
      </c>
      <c r="G327" s="18" t="s">
        <v>431</v>
      </c>
      <c r="H327" s="17" t="s">
        <v>13</v>
      </c>
      <c r="I327" s="17" t="s">
        <v>119</v>
      </c>
      <c r="J327" s="17" t="s">
        <v>119</v>
      </c>
    </row>
    <row r="328" spans="1:11" ht="32" x14ac:dyDescent="0.2">
      <c r="A328" s="16">
        <v>162</v>
      </c>
      <c r="B328" s="34">
        <v>43622</v>
      </c>
      <c r="C328" s="105">
        <v>34</v>
      </c>
      <c r="D328" s="17" t="str">
        <f>IF(C328=1,"Roßstr. 9",IF(C328=2,"Pfalzstr. 17",IF(C328=3,"Schlossstr. 19",IF(C328=4,"Neanderstr. 15",IF(C328=5,"Luisenstr. 3",IF(C328=6,"Lindenstr. 267",IF(C328=7,"Engerstr. 3",IF(C328=8,"Schützenstr. 20",IF(C328=9,"Stockkampstr. 47",IF(C328=10,"Driburgerstr. 8",IF(C328=11,"Kölnerstr. 261",IF(C328=12,"Merowingerstr. 17",IF(C328=13,"Borsigstr. 7",IF(C328=14,"Gerresheimer Landstr. 152",IF(C328=15,"Hoppengarten 15",IF(C328=16,"Hoppengarten 17",IF(C328=17,"Könerstr. 215",IF(C328=18,"Kölnerstr. 217",IF(C328=19,"Alte Bachstr. 25",IF(C328=20,"Kranzstr. 103",IF(C328=21,"Broicherdorfstr. 3",IF(C328=22,"Grafenberger Allee 235",IF(C328=23,"Börnestr. 2",IF(C328=24,"Angerbenden 31",IF(C328=25,"Koppelskamp 10",IF(C328=26,"Koppelskamp 12",IF(C328=27,"Koppelskamp 14",IF(C328=28,"Koppelskamp 8",IF(C328=29,"Bismarckstr. 109",IF(C328=30,"Memelstr. 43",IF(C328=31,"Angermunderstr. 30",IF(C328=32,"Koppelskamp 5",IF(C328=33,"Koppelskamp 5a",IF(C328=34,"Koppelskamp 7",IF(C328=35,"Lintorfer Waldstr. 6",IF(C328=36,"Lintorfer Waldstr. 8",IF(C328=37,"Lintorfer Waldstr. 10",IF(C328=38,"Koloniestr. 205",IF(C328=39,"Metzerstr. 28",IF(C328=40,"Metzerstr. 28a",IF(C328=41,"Spichernstr. 27",IF(C328=42,"Metzerstr. 17",IF(C328=43,"Neumühlerstr. 35",IF(C328=44,"Neumühlerstr. 37",IF(C328=45,"Neumühlerstr. 39",IF(C328=46,"Neumühlerstr. 41",IF(C328=47,"Mündelheimerstr. 3-5",IF(C328=48,"Mendelsohnstr. 3"))))))))))))))))))))))))))))))))))))))))))))))))</f>
        <v>Koppelskamp 7</v>
      </c>
      <c r="E328" s="17" t="s">
        <v>685</v>
      </c>
      <c r="F328" s="17" t="s">
        <v>51</v>
      </c>
      <c r="G328" s="18" t="s">
        <v>1112</v>
      </c>
      <c r="H328" s="17" t="s">
        <v>58</v>
      </c>
      <c r="I328" s="17" t="s">
        <v>329</v>
      </c>
      <c r="J328" s="17" t="s">
        <v>14</v>
      </c>
    </row>
    <row r="329" spans="1:11" ht="16" x14ac:dyDescent="0.2">
      <c r="A329" s="16">
        <v>162</v>
      </c>
      <c r="B329" s="34">
        <v>43264</v>
      </c>
      <c r="C329" s="105">
        <v>38</v>
      </c>
      <c r="D329" s="17" t="s">
        <v>171</v>
      </c>
      <c r="E329" s="17" t="s">
        <v>129</v>
      </c>
      <c r="F329" s="17" t="s">
        <v>259</v>
      </c>
      <c r="G329" s="18" t="s">
        <v>432</v>
      </c>
      <c r="H329" s="17" t="s">
        <v>13</v>
      </c>
      <c r="I329" s="17" t="s">
        <v>45</v>
      </c>
      <c r="J329" s="17" t="s">
        <v>45</v>
      </c>
    </row>
    <row r="330" spans="1:11" ht="16" x14ac:dyDescent="0.2">
      <c r="A330" s="16">
        <v>163</v>
      </c>
      <c r="B330" s="34">
        <v>43272</v>
      </c>
      <c r="C330" s="105">
        <v>43</v>
      </c>
      <c r="D330" s="17" t="s">
        <v>285</v>
      </c>
      <c r="E330" s="17" t="s">
        <v>129</v>
      </c>
      <c r="F330" s="17" t="s">
        <v>17</v>
      </c>
      <c r="G330" s="18" t="s">
        <v>61</v>
      </c>
      <c r="H330" s="17" t="s">
        <v>23</v>
      </c>
      <c r="I330" s="29" t="s">
        <v>14</v>
      </c>
      <c r="J330" s="29" t="s">
        <v>14</v>
      </c>
    </row>
    <row r="331" spans="1:11" ht="32" x14ac:dyDescent="0.2">
      <c r="A331" s="16">
        <v>163</v>
      </c>
      <c r="B331" s="34">
        <v>43623</v>
      </c>
      <c r="C331" s="105">
        <v>3</v>
      </c>
      <c r="D331" s="17" t="str">
        <f>IF(C331=1,"Roßstr. 9",IF(C331=2,"Pfalzstr. 17",IF(C331=3,"Schlossstr. 19",IF(C331=4,"Neanderstr. 15",IF(C331=5,"Luisenstr. 3",IF(C331=6,"Lindenstr. 267",IF(C331=7,"Engerstr. 3",IF(C331=8,"Schützenstr. 20",IF(C331=9,"Stockkampstr. 47",IF(C331=10,"Driburgerstr. 8",IF(C331=11,"Kölnerstr. 261",IF(C331=12,"Merowingerstr. 17",IF(C331=13,"Borsigstr. 7",IF(C331=14,"Gerresheimer Landstr. 152",IF(C331=15,"Hoppengarten 15",IF(C331=16,"Hoppengarten 17",IF(C331=17,"Könerstr. 215",IF(C331=18,"Kölnerstr. 217",IF(C331=19,"Alte Bachstr. 25",IF(C331=20,"Kranzstr. 103",IF(C331=21,"Broicherdorfstr. 3",IF(C331=22,"Grafenberger Allee 235",IF(C331=23,"Börnestr. 2",IF(C331=24,"Angerbenden 31",IF(C331=25,"Koppelskamp 10",IF(C331=26,"Koppelskamp 12",IF(C331=27,"Koppelskamp 14",IF(C331=28,"Koppelskamp 8",IF(C331=29,"Bismarckstr. 109",IF(C331=30,"Memelstr. 43",IF(C331=31,"Angermunderstr. 30",IF(C331=32,"Koppelskamp 5",IF(C331=33,"Koppelskamp 5a",IF(C331=34,"Koppelskamp 7",IF(C331=35,"Lintorfer Waldstr. 6",IF(C331=36,"Lintorfer Waldstr. 8",IF(C331=37,"Lintorfer Waldstr. 10",IF(C331=38,"Koloniestr. 205",IF(C331=39,"Metzerstr. 28",IF(C331=40,"Metzerstr. 28a",IF(C331=41,"Spichernstr. 27",IF(C331=42,"Metzerstr. 17",IF(C331=43,"Neumühlerstr. 35",IF(C331=44,"Neumühlerstr. 37",IF(C331=45,"Neumühlerstr. 39",IF(C331=46,"Neumühlerstr. 41",IF(C331=47,"Mündelheimerstr. 3-5",IF(C331=48,"Mendelsohnstr. 3"))))))))))))))))))))))))))))))))))))))))))))))))</f>
        <v>Schlossstr. 19</v>
      </c>
      <c r="E331" s="17" t="s">
        <v>1113</v>
      </c>
      <c r="F331" s="23" t="s">
        <v>1114</v>
      </c>
      <c r="G331" s="18" t="s">
        <v>1115</v>
      </c>
      <c r="H331" s="17" t="s">
        <v>58</v>
      </c>
      <c r="I331" s="17" t="s">
        <v>181</v>
      </c>
      <c r="J331" s="21" t="s">
        <v>181</v>
      </c>
      <c r="K331" s="24"/>
    </row>
    <row r="332" spans="1:11" ht="16" x14ac:dyDescent="0.2">
      <c r="A332" s="16">
        <v>164</v>
      </c>
      <c r="B332" s="34">
        <v>43623</v>
      </c>
      <c r="C332" s="105">
        <v>25</v>
      </c>
      <c r="D332" s="17" t="str">
        <f>IF(C332=1,"Roßstr. 9",IF(C332=2,"Pfalzstr. 17",IF(C332=3,"Schlossstr. 19",IF(C332=4,"Neanderstr. 15",IF(C332=5,"Luisenstr. 3",IF(C332=6,"Lindenstr. 267",IF(C332=7,"Engerstr. 3",IF(C332=8,"Schützenstr. 20",IF(C332=9,"Stockkampstr. 47",IF(C332=10,"Driburgerstr. 8",IF(C332=11,"Kölnerstr. 261",IF(C332=12,"Merowingerstr. 17",IF(C332=13,"Borsigstr. 7",IF(C332=14,"Gerresheimer Landstr. 152",IF(C332=15,"Hoppengarten 15",IF(C332=16,"Hoppengarten 17",IF(C332=17,"Könerstr. 215",IF(C332=18,"Kölnerstr. 217",IF(C332=19,"Alte Bachstr. 25",IF(C332=20,"Kranzstr. 103",IF(C332=21,"Broicherdorfstr. 3",IF(C332=22,"Grafenberger Allee 235",IF(C332=23,"Börnestr. 2",IF(C332=24,"Angerbenden 31",IF(C332=25,"Koppelskamp 10",IF(C332=26,"Koppelskamp 12",IF(C332=27,"Koppelskamp 14",IF(C332=28,"Koppelskamp 8",IF(C332=29,"Bismarckstr. 109",IF(C332=30,"Memelstr. 43",IF(C332=31,"Angermunderstr. 30",IF(C332=32,"Koppelskamp 5",IF(C332=33,"Koppelskamp 5a",IF(C332=34,"Koppelskamp 7",IF(C332=35,"Lintorfer Waldstr. 6",IF(C332=36,"Lintorfer Waldstr. 8",IF(C332=37,"Lintorfer Waldstr. 10",IF(C332=38,"Koloniestr. 205",IF(C332=39,"Metzerstr. 28",IF(C332=40,"Metzerstr. 28a",IF(C332=41,"Spichernstr. 27",IF(C332=42,"Metzerstr. 17",IF(C332=43,"Neumühlerstr. 35",IF(C332=44,"Neumühlerstr. 37",IF(C332=45,"Neumühlerstr. 39",IF(C332=46,"Neumühlerstr. 41",IF(C332=47,"Mündelheimerstr. 3-5",IF(C332=48,"Mendelsohnstr. 3"))))))))))))))))))))))))))))))))))))))))))))))))</f>
        <v>Koppelskamp 10</v>
      </c>
      <c r="E332" s="17" t="s">
        <v>10</v>
      </c>
      <c r="F332" s="17" t="s">
        <v>1116</v>
      </c>
      <c r="G332" s="18" t="s">
        <v>1117</v>
      </c>
      <c r="H332" s="17" t="s">
        <v>58</v>
      </c>
      <c r="I332" s="17" t="s">
        <v>48</v>
      </c>
      <c r="J332" s="17" t="s">
        <v>48</v>
      </c>
    </row>
    <row r="333" spans="1:11" ht="16" x14ac:dyDescent="0.2">
      <c r="A333" s="16">
        <v>164</v>
      </c>
      <c r="B333" s="34">
        <v>43259</v>
      </c>
      <c r="C333" s="105">
        <v>25</v>
      </c>
      <c r="D333" s="17" t="s">
        <v>128</v>
      </c>
      <c r="E333" s="17" t="s">
        <v>129</v>
      </c>
      <c r="F333" s="17" t="s">
        <v>433</v>
      </c>
      <c r="G333" s="18" t="s">
        <v>2476</v>
      </c>
      <c r="H333" s="17" t="s">
        <v>119</v>
      </c>
      <c r="I333" s="21" t="s">
        <v>423</v>
      </c>
      <c r="J333" s="21" t="s">
        <v>423</v>
      </c>
      <c r="K333"/>
    </row>
    <row r="334" spans="1:11" ht="16" x14ac:dyDescent="0.2">
      <c r="A334" s="16">
        <v>165</v>
      </c>
      <c r="B334" s="34">
        <v>43283</v>
      </c>
      <c r="C334" s="105">
        <v>19</v>
      </c>
      <c r="D334" s="17" t="s">
        <v>35</v>
      </c>
      <c r="E334" s="17" t="s">
        <v>434</v>
      </c>
      <c r="F334" s="17"/>
      <c r="G334" s="18" t="s">
        <v>435</v>
      </c>
      <c r="H334" s="17" t="s">
        <v>23</v>
      </c>
      <c r="I334" s="17" t="s">
        <v>436</v>
      </c>
      <c r="J334" s="17" t="s">
        <v>436</v>
      </c>
    </row>
    <row r="335" spans="1:11" ht="16" x14ac:dyDescent="0.2">
      <c r="A335" s="16">
        <v>165</v>
      </c>
      <c r="B335" s="34">
        <v>43627</v>
      </c>
      <c r="C335" s="105">
        <v>41</v>
      </c>
      <c r="D335" s="17" t="str">
        <f>IF(C335=1,"Roßstr. 9",IF(C335=2,"Pfalzstr. 17",IF(C335=3,"Schlossstr. 19",IF(C335=4,"Neanderstr. 15",IF(C335=5,"Luisenstr. 3",IF(C335=6,"Lindenstr. 267",IF(C335=7,"Engerstr. 3",IF(C335=8,"Schützenstr. 20",IF(C335=9,"Stockkampstr. 47",IF(C335=10,"Driburgerstr. 8",IF(C335=11,"Kölnerstr. 261",IF(C335=12,"Merowingerstr. 17",IF(C335=13,"Borsigstr. 7",IF(C335=14,"Gerresheimer Landstr. 152",IF(C335=15,"Hoppengarten 15",IF(C335=16,"Hoppengarten 17",IF(C335=17,"Könerstr. 215",IF(C335=18,"Kölnerstr. 217",IF(C335=19,"Alte Bachstr. 25",IF(C335=20,"Kranzstr. 103",IF(C335=21,"Broicherdorfstr. 3",IF(C335=22,"Grafenberger Allee 235",IF(C335=23,"Börnestr. 2",IF(C335=24,"Angerbenden 31",IF(C335=25,"Koppelskamp 10",IF(C335=26,"Koppelskamp 12",IF(C335=27,"Koppelskamp 14",IF(C335=28,"Koppelskamp 8",IF(C335=29,"Bismarckstr. 109",IF(C335=30,"Memelstr. 43",IF(C335=31,"Angermunderstr. 30",IF(C335=32,"Koppelskamp 5",IF(C335=33,"Koppelskamp 5a",IF(C335=34,"Koppelskamp 7",IF(C335=35,"Lintorfer Waldstr. 6",IF(C335=36,"Lintorfer Waldstr. 8",IF(C335=37,"Lintorfer Waldstr. 10",IF(C335=38,"Koloniestr. 205",IF(C335=39,"Metzerstr. 28",IF(C335=40,"Metzerstr. 28a",IF(C335=41,"Spichernstr. 27",IF(C335=42,"Metzerstr. 17",IF(C335=43,"Neumühlerstr. 35",IF(C335=44,"Neumühlerstr. 37",IF(C335=45,"Neumühlerstr. 39",IF(C335=46,"Neumühlerstr. 41",IF(C335=47,"Mündelheimerstr. 3-5",IF(C335=48,"Mendelsohnstr. 3"))))))))))))))))))))))))))))))))))))))))))))))))</f>
        <v>Spichernstr. 27</v>
      </c>
      <c r="E335" s="17" t="s">
        <v>43</v>
      </c>
      <c r="F335" s="17"/>
      <c r="G335" s="18" t="s">
        <v>1118</v>
      </c>
      <c r="H335" s="17" t="s">
        <v>23</v>
      </c>
      <c r="I335" s="21" t="s">
        <v>706</v>
      </c>
      <c r="J335" s="21" t="s">
        <v>706</v>
      </c>
    </row>
    <row r="336" spans="1:11" ht="16" x14ac:dyDescent="0.2">
      <c r="A336" s="16">
        <v>166</v>
      </c>
      <c r="B336" s="34">
        <v>43284</v>
      </c>
      <c r="C336" s="105">
        <v>18</v>
      </c>
      <c r="D336" s="17" t="s">
        <v>437</v>
      </c>
      <c r="E336" s="17" t="s">
        <v>17</v>
      </c>
      <c r="F336" s="17" t="s">
        <v>269</v>
      </c>
      <c r="G336" s="18" t="s">
        <v>438</v>
      </c>
      <c r="H336" s="17" t="s">
        <v>23</v>
      </c>
      <c r="I336" s="17" t="s">
        <v>48</v>
      </c>
      <c r="J336" s="17" t="s">
        <v>48</v>
      </c>
    </row>
    <row r="337" spans="1:12" ht="16" x14ac:dyDescent="0.2">
      <c r="A337" s="16">
        <v>166</v>
      </c>
      <c r="B337" s="34">
        <v>43627</v>
      </c>
      <c r="C337" s="105">
        <v>21</v>
      </c>
      <c r="D337" s="17" t="str">
        <f>IF(C337=1,"Roßstr. 9",IF(C337=2,"Pfalzstr. 17",IF(C337=3,"Schlossstr. 19",IF(C337=4,"Neanderstr. 15",IF(C337=5,"Luisenstr. 3",IF(C337=6,"Lindenstr. 267",IF(C337=7,"Engerstr. 3",IF(C337=8,"Schützenstr. 20",IF(C337=9,"Stockkampstr. 47",IF(C337=10,"Driburgerstr. 8",IF(C337=11,"Kölnerstr. 261",IF(C337=12,"Merowingerstr. 17",IF(C337=13,"Borsigstr. 7",IF(C337=14,"Gerresheimer Landstr. 152",IF(C337=15,"Hoppengarten 15",IF(C337=16,"Hoppengarten 17",IF(C337=17,"Könerstr. 215",IF(C337=18,"Kölnerstr. 217",IF(C337=19,"Alte Bachstr. 25",IF(C337=20,"Kranzstr. 103",IF(C337=21,"Broicherdorfstr. 3",IF(C337=22,"Grafenberger Allee 235",IF(C337=23,"Börnestr. 2",IF(C337=24,"Angerbenden 31",IF(C337=25,"Koppelskamp 10",IF(C337=26,"Koppelskamp 12",IF(C337=27,"Koppelskamp 14",IF(C337=28,"Koppelskamp 8",IF(C337=29,"Bismarckstr. 109",IF(C337=30,"Memelstr. 43",IF(C337=31,"Angermunderstr. 30",IF(C337=32,"Koppelskamp 5",IF(C337=33,"Koppelskamp 5a",IF(C337=34,"Koppelskamp 7",IF(C337=35,"Lintorfer Waldstr. 6",IF(C337=36,"Lintorfer Waldstr. 8",IF(C337=37,"Lintorfer Waldstr. 10",IF(C337=38,"Koloniestr. 205",IF(C337=39,"Metzerstr. 28",IF(C337=40,"Metzerstr. 28a",IF(C337=41,"Spichernstr. 27",IF(C337=42,"Metzerstr. 17",IF(C337=43,"Neumühlerstr. 35",IF(C337=44,"Neumühlerstr. 37",IF(C337=45,"Neumühlerstr. 39",IF(C337=46,"Neumühlerstr. 41",IF(C337=47,"Mündelheimerstr. 3-5",IF(C337=48,"Mendelsohnstr. 3"))))))))))))))))))))))))))))))))))))))))))))))))</f>
        <v>Broicherdorfstr. 3</v>
      </c>
      <c r="E337" s="17" t="s">
        <v>1119</v>
      </c>
      <c r="F337" s="17" t="s">
        <v>548</v>
      </c>
      <c r="G337" s="18" t="s">
        <v>1120</v>
      </c>
      <c r="H337" s="17" t="s">
        <v>23</v>
      </c>
      <c r="I337" s="17" t="s">
        <v>931</v>
      </c>
      <c r="J337" s="17" t="s">
        <v>931</v>
      </c>
    </row>
    <row r="338" spans="1:12" ht="32" x14ac:dyDescent="0.2">
      <c r="A338" s="16">
        <v>167</v>
      </c>
      <c r="B338" s="34">
        <v>43629</v>
      </c>
      <c r="C338" s="105">
        <v>46</v>
      </c>
      <c r="D338" s="17" t="str">
        <f>IF(C338=1,"Roßstr. 9",IF(C338=2,"Pfalzstr. 17",IF(C338=3,"Schlossstr. 19",IF(C338=4,"Neanderstr. 15",IF(C338=5,"Luisenstr. 3",IF(C338=6,"Lindenstr. 267",IF(C338=7,"Engerstr. 3",IF(C338=8,"Schützenstr. 20",IF(C338=9,"Stockkampstr. 47",IF(C338=10,"Driburgerstr. 8",IF(C338=11,"Kölnerstr. 261",IF(C338=12,"Merowingerstr. 17",IF(C338=13,"Borsigstr. 7",IF(C338=14,"Gerresheimer Landstr. 152",IF(C338=15,"Hoppengarten 15",IF(C338=16,"Hoppengarten 17",IF(C338=17,"Könerstr. 215",IF(C338=18,"Kölnerstr. 217",IF(C338=19,"Alte Bachstr. 25",IF(C338=20,"Kranzstr. 103",IF(C338=21,"Broicherdorfstr. 3",IF(C338=22,"Grafenberger Allee 235",IF(C338=23,"Börnestr. 2",IF(C338=24,"Angerbenden 31",IF(C338=25,"Koppelskamp 10",IF(C338=26,"Koppelskamp 12",IF(C338=27,"Koppelskamp 14",IF(C338=28,"Koppelskamp 8",IF(C338=29,"Bismarckstr. 109",IF(C338=30,"Memelstr. 43",IF(C338=31,"Angermunderstr. 30",IF(C338=32,"Koppelskamp 5",IF(C338=33,"Koppelskamp 5a",IF(C338=34,"Koppelskamp 7",IF(C338=35,"Lintorfer Waldstr. 6",IF(C338=36,"Lintorfer Waldstr. 8",IF(C338=37,"Lintorfer Waldstr. 10",IF(C338=38,"Koloniestr. 205",IF(C338=39,"Metzerstr. 28",IF(C338=40,"Metzerstr. 28a",IF(C338=41,"Spichernstr. 27",IF(C338=42,"Metzerstr. 17",IF(C338=43,"Neumühlerstr. 35",IF(C338=44,"Neumühlerstr. 37",IF(C338=45,"Neumühlerstr. 39",IF(C338=46,"Neumühlerstr. 41",IF(C338=47,"Mündelheimerstr. 3-5",IF(C338=48,"Mendelsohnstr. 3"))))))))))))))))))))))))))))))))))))))))))))))))</f>
        <v>Neumühlerstr. 41</v>
      </c>
      <c r="E338" s="17" t="s">
        <v>245</v>
      </c>
      <c r="F338" s="17" t="s">
        <v>1121</v>
      </c>
      <c r="G338" s="18" t="s">
        <v>1122</v>
      </c>
      <c r="H338" s="17" t="s">
        <v>23</v>
      </c>
      <c r="I338" s="17" t="s">
        <v>543</v>
      </c>
      <c r="J338" s="17" t="s">
        <v>543</v>
      </c>
    </row>
    <row r="339" spans="1:12" ht="16" x14ac:dyDescent="0.2">
      <c r="A339" s="16">
        <v>167</v>
      </c>
      <c r="B339" s="34">
        <v>43293</v>
      </c>
      <c r="C339" s="105">
        <v>18</v>
      </c>
      <c r="D339" s="17" t="s">
        <v>439</v>
      </c>
      <c r="E339" s="17" t="s">
        <v>32</v>
      </c>
      <c r="F339" s="17" t="s">
        <v>440</v>
      </c>
      <c r="G339" s="18" t="s">
        <v>441</v>
      </c>
      <c r="H339" s="17" t="s">
        <v>13</v>
      </c>
      <c r="I339" s="17" t="s">
        <v>181</v>
      </c>
      <c r="J339" s="17" t="s">
        <v>181</v>
      </c>
    </row>
    <row r="340" spans="1:12" ht="16" x14ac:dyDescent="0.2">
      <c r="A340" s="16">
        <v>168</v>
      </c>
      <c r="B340" s="34">
        <v>43293</v>
      </c>
      <c r="C340" s="105">
        <v>17</v>
      </c>
      <c r="D340" s="17" t="s">
        <v>201</v>
      </c>
      <c r="E340" s="17" t="s">
        <v>202</v>
      </c>
      <c r="F340" s="17" t="s">
        <v>203</v>
      </c>
      <c r="G340" s="18" t="s">
        <v>442</v>
      </c>
      <c r="H340" s="17" t="s">
        <v>13</v>
      </c>
      <c r="I340" s="23" t="s">
        <v>181</v>
      </c>
      <c r="J340" s="17" t="s">
        <v>443</v>
      </c>
    </row>
    <row r="341" spans="1:12" ht="16" x14ac:dyDescent="0.2">
      <c r="A341" s="16">
        <v>168</v>
      </c>
      <c r="B341" s="34">
        <v>43633</v>
      </c>
      <c r="C341" s="105">
        <v>18</v>
      </c>
      <c r="D341" s="17" t="str">
        <f>IF(C341=1,"Roßstr. 9",IF(C341=2,"Pfalzstr. 17",IF(C341=3,"Schlossstr. 19",IF(C341=4,"Neanderstr. 15",IF(C341=5,"Luisenstr. 3",IF(C341=6,"Lindenstr. 267",IF(C341=7,"Engerstr. 3",IF(C341=8,"Schützenstr. 20",IF(C341=9,"Stockkampstr. 47",IF(C341=10,"Driburgerstr. 8",IF(C341=11,"Kölnerstr. 261",IF(C341=12,"Merowingerstr. 17",IF(C341=13,"Borsigstr. 7",IF(C341=14,"Gerresheimer Landstr. 152",IF(C341=15,"Hoppengarten 15",IF(C341=16,"Hoppengarten 17",IF(C341=17,"Könerstr. 215",IF(C341=18,"Kölnerstr. 217",IF(C341=19,"Alte Bachstr. 25",IF(C341=20,"Kranzstr. 103",IF(C341=21,"Broicherdorfstr. 3",IF(C341=22,"Grafenberger Allee 235",IF(C341=23,"Börnestr. 2",IF(C341=24,"Angerbenden 31",IF(C341=25,"Koppelskamp 10",IF(C341=26,"Koppelskamp 12",IF(C341=27,"Koppelskamp 14",IF(C341=28,"Koppelskamp 8",IF(C341=29,"Bismarckstr. 109",IF(C341=30,"Memelstr. 43",IF(C341=31,"Angermunderstr. 30",IF(C341=32,"Koppelskamp 5",IF(C341=33,"Koppelskamp 5a",IF(C341=34,"Koppelskamp 7",IF(C341=35,"Lintorfer Waldstr. 6",IF(C341=36,"Lintorfer Waldstr. 8",IF(C341=37,"Lintorfer Waldstr. 10",IF(C341=38,"Koloniestr. 205",IF(C341=39,"Metzerstr. 28",IF(C341=40,"Metzerstr. 28a",IF(C341=41,"Spichernstr. 27",IF(C341=42,"Metzerstr. 17",IF(C341=43,"Neumühlerstr. 35",IF(C341=44,"Neumühlerstr. 37",IF(C341=45,"Neumühlerstr. 39",IF(C341=46,"Neumühlerstr. 41",IF(C341=47,"Mündelheimerstr. 3-5",IF(C341=48,"Mendelsohnstr. 3"))))))))))))))))))))))))))))))))))))))))))))))))</f>
        <v>Kölnerstr. 217</v>
      </c>
      <c r="E341" s="17" t="s">
        <v>630</v>
      </c>
      <c r="F341" s="17" t="s">
        <v>1106</v>
      </c>
      <c r="G341" s="18" t="s">
        <v>1123</v>
      </c>
      <c r="H341" s="17" t="s">
        <v>23</v>
      </c>
      <c r="I341" s="17" t="s">
        <v>181</v>
      </c>
      <c r="J341" s="17" t="s">
        <v>181</v>
      </c>
    </row>
    <row r="342" spans="1:12" ht="16" x14ac:dyDescent="0.2">
      <c r="A342" s="16">
        <v>169</v>
      </c>
      <c r="B342" s="34">
        <v>43293</v>
      </c>
      <c r="C342" s="111">
        <v>4</v>
      </c>
      <c r="D342" s="107" t="s">
        <v>168</v>
      </c>
      <c r="E342" s="107" t="s">
        <v>129</v>
      </c>
      <c r="F342" s="107" t="s">
        <v>444</v>
      </c>
      <c r="G342" s="117" t="s">
        <v>445</v>
      </c>
      <c r="H342" s="107" t="s">
        <v>13</v>
      </c>
      <c r="I342" s="107" t="s">
        <v>181</v>
      </c>
      <c r="J342" s="21">
        <v>169</v>
      </c>
    </row>
    <row r="343" spans="1:12" ht="16" x14ac:dyDescent="0.2">
      <c r="A343" s="16">
        <v>169</v>
      </c>
      <c r="B343" s="34">
        <v>43633</v>
      </c>
      <c r="C343" s="105">
        <v>19</v>
      </c>
      <c r="D343" s="17" t="str">
        <f>IF(C343=1,"Roßstr. 9",IF(C343=2,"Pfalzstr. 17",IF(C343=3,"Schlossstr. 19",IF(C343=4,"Neanderstr. 15",IF(C343=5,"Luisenstr. 3",IF(C343=6,"Lindenstr. 267",IF(C343=7,"Engerstr. 3",IF(C343=8,"Schützenstr. 20",IF(C343=9,"Stockkampstr. 47",IF(C343=10,"Driburgerstr. 8",IF(C343=11,"Kölnerstr. 261",IF(C343=12,"Merowingerstr. 17",IF(C343=13,"Borsigstr. 7",IF(C343=14,"Gerresheimer Landstr. 152",IF(C343=15,"Hoppengarten 15",IF(C343=16,"Hoppengarten 17",IF(C343=17,"Könerstr. 215",IF(C343=18,"Kölnerstr. 217",IF(C343=19,"Alte Bachstr. 25",IF(C343=20,"Kranzstr. 103",IF(C343=21,"Broicherdorfstr. 3",IF(C343=22,"Grafenberger Allee 235",IF(C343=23,"Börnestr. 2",IF(C343=24,"Angerbenden 31",IF(C343=25,"Koppelskamp 10",IF(C343=26,"Koppelskamp 12",IF(C343=27,"Koppelskamp 14",IF(C343=28,"Koppelskamp 8",IF(C343=29,"Bismarckstr. 109",IF(C343=30,"Memelstr. 43",IF(C343=31,"Angermunderstr. 30",IF(C343=32,"Koppelskamp 5",IF(C343=33,"Koppelskamp 5a",IF(C343=34,"Koppelskamp 7",IF(C343=35,"Lintorfer Waldstr. 6",IF(C343=36,"Lintorfer Waldstr. 8",IF(C343=37,"Lintorfer Waldstr. 10",IF(C343=38,"Koloniestr. 205",IF(C343=39,"Metzerstr. 28",IF(C343=40,"Metzerstr. 28a",IF(C343=41,"Spichernstr. 27",IF(C343=42,"Metzerstr. 17",IF(C343=43,"Neumühlerstr. 35",IF(C343=44,"Neumühlerstr. 37",IF(C343=45,"Neumühlerstr. 39",IF(C343=46,"Neumühlerstr. 41",IF(C343=47,"Mündelheimerstr. 3-5",IF(C343=48,"Mendelsohnstr. 3"))))))))))))))))))))))))))))))))))))))))))))))))</f>
        <v>Alte Bachstr. 25</v>
      </c>
      <c r="E343" s="17" t="s">
        <v>165</v>
      </c>
      <c r="F343" s="17"/>
      <c r="G343" s="18" t="s">
        <v>1124</v>
      </c>
      <c r="H343" s="17" t="s">
        <v>463</v>
      </c>
      <c r="I343" s="17" t="s">
        <v>167</v>
      </c>
      <c r="J343" s="21" t="s">
        <v>167</v>
      </c>
    </row>
    <row r="344" spans="1:12" ht="16" x14ac:dyDescent="0.2">
      <c r="A344" s="16">
        <v>170</v>
      </c>
      <c r="B344" s="34">
        <v>43293</v>
      </c>
      <c r="C344" s="105">
        <v>17</v>
      </c>
      <c r="D344" s="17" t="s">
        <v>201</v>
      </c>
      <c r="E344" s="17" t="s">
        <v>352</v>
      </c>
      <c r="F344" s="17"/>
      <c r="G344" s="18" t="s">
        <v>446</v>
      </c>
      <c r="H344" s="17" t="s">
        <v>13</v>
      </c>
      <c r="I344" s="17" t="s">
        <v>76</v>
      </c>
      <c r="J344" s="17" t="s">
        <v>76</v>
      </c>
    </row>
    <row r="345" spans="1:12" ht="16" x14ac:dyDescent="0.2">
      <c r="A345" s="16">
        <v>170</v>
      </c>
      <c r="B345" s="34">
        <v>43634</v>
      </c>
      <c r="C345" s="105">
        <v>20</v>
      </c>
      <c r="D345" s="17" t="str">
        <f>IF(C345=1,"Roßstr. 9",IF(C345=2,"Pfalzstr. 17",IF(C345=3,"Schlossstr. 19",IF(C345=4,"Neanderstr. 15",IF(C345=5,"Luisenstr. 3",IF(C345=6,"Lindenstr. 267",IF(C345=7,"Engerstr. 3",IF(C345=8,"Schützenstr. 20",IF(C345=9,"Stockkampstr. 47",IF(C345=10,"Driburgerstr. 8",IF(C345=11,"Kölnerstr. 261",IF(C345=12,"Merowingerstr. 17",IF(C345=13,"Borsigstr. 7",IF(C345=14,"Gerresheimer Landstr. 152",IF(C345=15,"Hoppengarten 15",IF(C345=16,"Hoppengarten 17",IF(C345=17,"Könerstr. 215",IF(C345=18,"Kölnerstr. 217",IF(C345=19,"Alte Bachstr. 25",IF(C345=20,"Kranzstr. 103",IF(C345=21,"Broicherdorfstr. 3",IF(C345=22,"Grafenberger Allee 235",IF(C345=23,"Börnestr. 2",IF(C345=24,"Angerbenden 31",IF(C345=25,"Koppelskamp 10",IF(C345=26,"Koppelskamp 12",IF(C345=27,"Koppelskamp 14",IF(C345=28,"Koppelskamp 8",IF(C345=29,"Bismarckstr. 109",IF(C345=30,"Memelstr. 43",IF(C345=31,"Angermunderstr. 30",IF(C345=32,"Koppelskamp 5",IF(C345=33,"Koppelskamp 5a",IF(C345=34,"Koppelskamp 7",IF(C345=35,"Lintorfer Waldstr. 6",IF(C345=36,"Lintorfer Waldstr. 8",IF(C345=37,"Lintorfer Waldstr. 10",IF(C345=38,"Koloniestr. 205",IF(C345=39,"Metzerstr. 28",IF(C345=40,"Metzerstr. 28a",IF(C345=41,"Spichernstr. 27",IF(C345=42,"Metzerstr. 17",IF(C345=43,"Neumühlerstr. 35",IF(C345=44,"Neumühlerstr. 37",IF(C345=45,"Neumühlerstr. 39",IF(C345=46,"Neumühlerstr. 41",IF(C345=47,"Mündelheimerstr. 3-5",IF(C345=48,"Mendelsohnstr. 3"))))))))))))))))))))))))))))))))))))))))))))))))</f>
        <v>Kranzstr. 103</v>
      </c>
      <c r="E345" s="17"/>
      <c r="F345" s="17"/>
      <c r="G345" s="18" t="s">
        <v>1125</v>
      </c>
      <c r="H345" s="17" t="s">
        <v>23</v>
      </c>
      <c r="I345" s="17" t="s">
        <v>411</v>
      </c>
      <c r="J345" s="21" t="s">
        <v>411</v>
      </c>
    </row>
    <row r="346" spans="1:12" ht="16" x14ac:dyDescent="0.2">
      <c r="A346" s="16">
        <v>171</v>
      </c>
      <c r="B346" s="34">
        <v>43634</v>
      </c>
      <c r="C346" s="105">
        <v>46</v>
      </c>
      <c r="D346" s="17" t="str">
        <f>IF(C346=1,"Roßstr. 9",IF(C346=2,"Pfalzstr. 17",IF(C346=3,"Schlossstr. 19",IF(C346=4,"Neanderstr. 15",IF(C346=5,"Luisenstr. 3",IF(C346=6,"Lindenstr. 267",IF(C346=7,"Engerstr. 3",IF(C346=8,"Schützenstr. 20",IF(C346=9,"Stockkampstr. 47",IF(C346=10,"Driburgerstr. 8",IF(C346=11,"Kölnerstr. 261",IF(C346=12,"Merowingerstr. 17",IF(C346=13,"Borsigstr. 7",IF(C346=14,"Gerresheimer Landstr. 152",IF(C346=15,"Hoppengarten 15",IF(C346=16,"Hoppengarten 17",IF(C346=17,"Könerstr. 215",IF(C346=18,"Kölnerstr. 217",IF(C346=19,"Alte Bachstr. 25",IF(C346=20,"Kranzstr. 103",IF(C346=21,"Broicherdorfstr. 3",IF(C346=22,"Grafenberger Allee 235",IF(C346=23,"Börnestr. 2",IF(C346=24,"Angerbenden 31",IF(C346=25,"Koppelskamp 10",IF(C346=26,"Koppelskamp 12",IF(C346=27,"Koppelskamp 14",IF(C346=28,"Koppelskamp 8",IF(C346=29,"Bismarckstr. 109",IF(C346=30,"Memelstr. 43",IF(C346=31,"Angermunderstr. 30",IF(C346=32,"Koppelskamp 5",IF(C346=33,"Koppelskamp 5a",IF(C346=34,"Koppelskamp 7",IF(C346=35,"Lintorfer Waldstr. 6",IF(C346=36,"Lintorfer Waldstr. 8",IF(C346=37,"Lintorfer Waldstr. 10",IF(C346=38,"Koloniestr. 205",IF(C346=39,"Metzerstr. 28",IF(C346=40,"Metzerstr. 28a",IF(C346=41,"Spichernstr. 27",IF(C346=42,"Metzerstr. 17",IF(C346=43,"Neumühlerstr. 35",IF(C346=44,"Neumühlerstr. 37",IF(C346=45,"Neumühlerstr. 39",IF(C346=46,"Neumühlerstr. 41",IF(C346=47,"Mündelheimerstr. 3-5",IF(C346=48,"Mendelsohnstr. 3"))))))))))))))))))))))))))))))))))))))))))))))))</f>
        <v>Neumühlerstr. 41</v>
      </c>
      <c r="E346" s="17" t="s">
        <v>245</v>
      </c>
      <c r="F346" s="17" t="s">
        <v>1121</v>
      </c>
      <c r="G346" s="18" t="s">
        <v>1126</v>
      </c>
      <c r="H346" s="17" t="s">
        <v>23</v>
      </c>
      <c r="I346" s="17" t="s">
        <v>312</v>
      </c>
      <c r="J346" s="17" t="s">
        <v>312</v>
      </c>
    </row>
    <row r="347" spans="1:12" ht="16" x14ac:dyDescent="0.2">
      <c r="A347" s="16">
        <v>171</v>
      </c>
      <c r="B347" s="34">
        <v>43294</v>
      </c>
      <c r="C347" s="105">
        <v>34</v>
      </c>
      <c r="D347" s="17" t="s">
        <v>355</v>
      </c>
      <c r="E347" s="17" t="s">
        <v>40</v>
      </c>
      <c r="F347" s="17" t="s">
        <v>447</v>
      </c>
      <c r="G347" s="18" t="s">
        <v>448</v>
      </c>
      <c r="H347" s="17" t="s">
        <v>13</v>
      </c>
      <c r="I347" s="17" t="s">
        <v>19</v>
      </c>
      <c r="J347" s="17" t="s">
        <v>19</v>
      </c>
    </row>
    <row r="348" spans="1:12" ht="16" x14ac:dyDescent="0.2">
      <c r="A348" s="16">
        <v>172</v>
      </c>
      <c r="B348" s="34">
        <v>43640</v>
      </c>
      <c r="C348" s="105">
        <v>35</v>
      </c>
      <c r="D348" s="17" t="str">
        <f>IF(C348=1,"Roßstr. 9",IF(C348=2,"Pfalzstr. 17",IF(C348=3,"Schlossstr. 19",IF(C348=4,"Neanderstr. 15",IF(C348=5,"Luisenstr. 3",IF(C348=6,"Lindenstr. 267",IF(C348=7,"Engerstr. 3",IF(C348=8,"Schützenstr. 20",IF(C348=9,"Stockkampstr. 47",IF(C348=10,"Driburgerstr. 8",IF(C348=11,"Kölnerstr. 261",IF(C348=12,"Merowingerstr. 17",IF(C348=13,"Borsigstr. 7",IF(C348=14,"Gerresheimer Landstr. 152",IF(C348=15,"Hoppengarten 15",IF(C348=16,"Hoppengarten 17",IF(C348=17,"Könerstr. 215",IF(C348=18,"Kölnerstr. 217",IF(C348=19,"Alte Bachstr. 25",IF(C348=20,"Kranzstr. 103",IF(C348=21,"Broicherdorfstr. 3",IF(C348=22,"Grafenberger Allee 235",IF(C348=23,"Börnestr. 2",IF(C348=24,"Angerbenden 31",IF(C348=25,"Koppelskamp 10",IF(C348=26,"Koppelskamp 12",IF(C348=27,"Koppelskamp 14",IF(C348=28,"Koppelskamp 8",IF(C348=29,"Bismarckstr. 109",IF(C348=30,"Memelstr. 43",IF(C348=31,"Angermunderstr. 30",IF(C348=32,"Koppelskamp 5",IF(C348=33,"Koppelskamp 5a",IF(C348=34,"Koppelskamp 7",IF(C348=35,"Lintorfer Waldstr. 6",IF(C348=36,"Lintorfer Waldstr. 8",IF(C348=37,"Lintorfer Waldstr. 10",IF(C348=38,"Koloniestr. 205",IF(C348=39,"Metzerstr. 28",IF(C348=40,"Metzerstr. 28a",IF(C348=41,"Spichernstr. 27",IF(C348=42,"Metzerstr. 17",IF(C348=43,"Neumühlerstr. 35",IF(C348=44,"Neumühlerstr. 37",IF(C348=45,"Neumühlerstr. 39",IF(C348=46,"Neumühlerstr. 41",IF(C348=47,"Mündelheimerstr. 3-5",IF(C348=48,"Mendelsohnstr. 3"))))))))))))))))))))))))))))))))))))))))))))))))</f>
        <v>Lintorfer Waldstr. 6</v>
      </c>
      <c r="E348" s="17"/>
      <c r="F348" s="17" t="s">
        <v>1127</v>
      </c>
      <c r="G348" s="18" t="s">
        <v>1128</v>
      </c>
      <c r="H348" s="17" t="s">
        <v>23</v>
      </c>
      <c r="I348" s="17" t="s">
        <v>76</v>
      </c>
      <c r="J348" s="17" t="s">
        <v>76</v>
      </c>
    </row>
    <row r="349" spans="1:12" ht="16" x14ac:dyDescent="0.2">
      <c r="A349" s="16">
        <v>172</v>
      </c>
      <c r="B349" s="34">
        <v>43297</v>
      </c>
      <c r="C349" s="105">
        <v>18</v>
      </c>
      <c r="D349" s="17" t="s">
        <v>343</v>
      </c>
      <c r="E349" s="17" t="s">
        <v>138</v>
      </c>
      <c r="F349" s="17" t="s">
        <v>449</v>
      </c>
      <c r="G349" s="18" t="s">
        <v>450</v>
      </c>
      <c r="H349" s="17" t="s">
        <v>13</v>
      </c>
      <c r="I349" s="17" t="s">
        <v>306</v>
      </c>
      <c r="J349" s="17" t="s">
        <v>119</v>
      </c>
      <c r="K349" s="24"/>
      <c r="L349" s="25"/>
    </row>
    <row r="350" spans="1:12" ht="16" x14ac:dyDescent="0.2">
      <c r="A350" s="16">
        <v>173</v>
      </c>
      <c r="B350" s="34">
        <v>43640</v>
      </c>
      <c r="C350" s="105">
        <v>19</v>
      </c>
      <c r="D350" s="17" t="str">
        <f>IF(C350=1,"Roßstr. 9",IF(C350=2,"Pfalzstr. 17",IF(C350=3,"Schlossstr. 19",IF(C350=4,"Neanderstr. 15",IF(C350=5,"Luisenstr. 3",IF(C350=6,"Lindenstr. 267",IF(C350=7,"Engerstr. 3",IF(C350=8,"Schützenstr. 20",IF(C350=9,"Stockkampstr. 47",IF(C350=10,"Driburgerstr. 8",IF(C350=11,"Kölnerstr. 261",IF(C350=12,"Merowingerstr. 17",IF(C350=13,"Borsigstr. 7",IF(C350=14,"Gerresheimer Landstr. 152",IF(C350=15,"Hoppengarten 15",IF(C350=16,"Hoppengarten 17",IF(C350=17,"Könerstr. 215",IF(C350=18,"Kölnerstr. 217",IF(C350=19,"Alte Bachstr. 25",IF(C350=20,"Kranzstr. 103",IF(C350=21,"Broicherdorfstr. 3",IF(C350=22,"Grafenberger Allee 235",IF(C350=23,"Börnestr. 2",IF(C350=24,"Angerbenden 31",IF(C350=25,"Koppelskamp 10",IF(C350=26,"Koppelskamp 12",IF(C350=27,"Koppelskamp 14",IF(C350=28,"Koppelskamp 8",IF(C350=29,"Bismarckstr. 109",IF(C350=30,"Memelstr. 43",IF(C350=31,"Angermunderstr. 30",IF(C350=32,"Koppelskamp 5",IF(C350=33,"Koppelskamp 5a",IF(C350=34,"Koppelskamp 7",IF(C350=35,"Lintorfer Waldstr. 6",IF(C350=36,"Lintorfer Waldstr. 8",IF(C350=37,"Lintorfer Waldstr. 10",IF(C350=38,"Koloniestr. 205",IF(C350=39,"Metzerstr. 28",IF(C350=40,"Metzerstr. 28a",IF(C350=41,"Spichernstr. 27",IF(C350=42,"Metzerstr. 17",IF(C350=43,"Neumühlerstr. 35",IF(C350=44,"Neumühlerstr. 37",IF(C350=45,"Neumühlerstr. 39",IF(C350=46,"Neumühlerstr. 41",IF(C350=47,"Mündelheimerstr. 3-5",IF(C350=48,"Mendelsohnstr. 3"))))))))))))))))))))))))))))))))))))))))))))))))</f>
        <v>Alte Bachstr. 25</v>
      </c>
      <c r="E350" s="17" t="s">
        <v>1129</v>
      </c>
      <c r="F350" s="17"/>
      <c r="G350" s="18" t="s">
        <v>1130</v>
      </c>
      <c r="H350" s="17" t="s">
        <v>13</v>
      </c>
      <c r="I350" s="17" t="s">
        <v>14</v>
      </c>
      <c r="J350" s="17" t="s">
        <v>14</v>
      </c>
      <c r="K350" s="24"/>
      <c r="L350" s="25"/>
    </row>
    <row r="351" spans="1:12" ht="16" x14ac:dyDescent="0.2">
      <c r="A351" s="16">
        <v>173</v>
      </c>
      <c r="B351" s="34">
        <v>43297</v>
      </c>
      <c r="C351" s="105">
        <v>22</v>
      </c>
      <c r="D351" s="17" t="s">
        <v>173</v>
      </c>
      <c r="E351" s="17" t="s">
        <v>129</v>
      </c>
      <c r="F351" s="17" t="s">
        <v>451</v>
      </c>
      <c r="G351" s="18" t="s">
        <v>452</v>
      </c>
      <c r="H351" s="17" t="s">
        <v>13</v>
      </c>
      <c r="I351" s="17" t="s">
        <v>14</v>
      </c>
      <c r="J351" s="23" t="s">
        <v>14</v>
      </c>
      <c r="K351" s="24"/>
      <c r="L351" s="25"/>
    </row>
    <row r="352" spans="1:12" ht="16" x14ac:dyDescent="0.2">
      <c r="A352" s="16">
        <v>174</v>
      </c>
      <c r="B352" s="34">
        <v>43290</v>
      </c>
      <c r="C352" s="105">
        <v>19</v>
      </c>
      <c r="D352" s="17" t="s">
        <v>35</v>
      </c>
      <c r="E352" s="17">
        <v>6</v>
      </c>
      <c r="F352" s="17" t="s">
        <v>289</v>
      </c>
      <c r="G352" s="18" t="s">
        <v>311</v>
      </c>
      <c r="H352" s="17" t="s">
        <v>14</v>
      </c>
      <c r="I352" s="21" t="s">
        <v>312</v>
      </c>
      <c r="J352" s="21" t="s">
        <v>312</v>
      </c>
      <c r="K352" s="24"/>
      <c r="L352" s="25"/>
    </row>
    <row r="353" spans="1:12" ht="16" x14ac:dyDescent="0.2">
      <c r="A353" s="16">
        <v>174</v>
      </c>
      <c r="B353" s="34">
        <v>43642</v>
      </c>
      <c r="C353" s="105">
        <v>19</v>
      </c>
      <c r="D353" s="17" t="s">
        <v>715</v>
      </c>
      <c r="E353" s="17" t="s">
        <v>1131</v>
      </c>
      <c r="F353" s="17" t="s">
        <v>17</v>
      </c>
      <c r="G353" s="18" t="s">
        <v>61</v>
      </c>
      <c r="H353" s="17" t="s">
        <v>23</v>
      </c>
      <c r="I353" s="17" t="s">
        <v>14</v>
      </c>
      <c r="J353" s="17" t="s">
        <v>14</v>
      </c>
      <c r="K353" s="24"/>
      <c r="L353" s="25"/>
    </row>
    <row r="354" spans="1:12" ht="16" x14ac:dyDescent="0.2">
      <c r="A354" s="16">
        <v>175</v>
      </c>
      <c r="B354" s="34">
        <v>43643</v>
      </c>
      <c r="C354" s="105">
        <v>40</v>
      </c>
      <c r="D354" s="17" t="str">
        <f>IF(C354=1,"Roßstr. 9",IF(C354=2,"Pfalzstr. 17",IF(C354=3,"Schlossstr. 19",IF(C354=4,"Neanderstr. 15",IF(C354=5,"Luisenstr. 3",IF(C354=6,"Lindenstr. 267",IF(C354=7,"Engerstr. 3",IF(C354=8,"Schützenstr. 20",IF(C354=9,"Stockkampstr. 47",IF(C354=10,"Driburgerstr. 8",IF(C354=11,"Kölnerstr. 261",IF(C354=12,"Merowingerstr. 17",IF(C354=13,"Borsigstr. 7",IF(C354=14,"Gerresheimer Landstr. 152",IF(C354=15,"Hoppengarten 15",IF(C354=16,"Hoppengarten 17",IF(C354=17,"Könerstr. 215",IF(C354=18,"Kölnerstr. 217",IF(C354=19,"Alte Bachstr. 25",IF(C354=20,"Kranzstr. 103",IF(C354=21,"Broicherdorfstr. 3",IF(C354=22,"Grafenberger Allee 235",IF(C354=23,"Börnestr. 2",IF(C354=24,"Angerbenden 31",IF(C354=25,"Koppelskamp 10",IF(C354=26,"Koppelskamp 12",IF(C354=27,"Koppelskamp 14",IF(C354=28,"Koppelskamp 8",IF(C354=29,"Bismarckstr. 109",IF(C354=30,"Memelstr. 43",IF(C354=31,"Angermunderstr. 30",IF(C354=32,"Koppelskamp 5",IF(C354=33,"Koppelskamp 5a",IF(C354=34,"Koppelskamp 7",IF(C354=35,"Lintorfer Waldstr. 6",IF(C354=36,"Lintorfer Waldstr. 8",IF(C354=37,"Lintorfer Waldstr. 10",IF(C354=38,"Koloniestr. 205",IF(C354=39,"Metzerstr. 28",IF(C354=40,"Metzerstr. 28a",IF(C354=41,"Spichernstr. 27",IF(C354=42,"Metzerstr. 17",IF(C354=43,"Neumühlerstr. 35",IF(C354=44,"Neumühlerstr. 37",IF(C354=45,"Neumühlerstr. 39",IF(C354=46,"Neumühlerstr. 41",IF(C354=47,"Mündelheimerstr. 3-5",IF(C354=48,"Mendelsohnstr. 3"))))))))))))))))))))))))))))))))))))))))))))))))</f>
        <v>Metzerstr. 28a</v>
      </c>
      <c r="E354" s="17" t="s">
        <v>94</v>
      </c>
      <c r="F354" s="17" t="s">
        <v>1132</v>
      </c>
      <c r="G354" s="18" t="s">
        <v>1133</v>
      </c>
      <c r="H354" s="17" t="s">
        <v>13</v>
      </c>
      <c r="I354" s="17" t="s">
        <v>145</v>
      </c>
      <c r="J354" s="21" t="s">
        <v>145</v>
      </c>
      <c r="K354" s="24"/>
      <c r="L354" s="25"/>
    </row>
    <row r="355" spans="1:12" ht="16" x14ac:dyDescent="0.2">
      <c r="A355" s="16">
        <v>175</v>
      </c>
      <c r="B355" s="34">
        <v>43298</v>
      </c>
      <c r="C355" s="105">
        <v>41</v>
      </c>
      <c r="D355" s="17" t="s">
        <v>26</v>
      </c>
      <c r="E355" s="17" t="s">
        <v>129</v>
      </c>
      <c r="F355" s="17" t="s">
        <v>430</v>
      </c>
      <c r="G355" s="18" t="s">
        <v>453</v>
      </c>
      <c r="H355" s="17" t="s">
        <v>13</v>
      </c>
      <c r="I355" s="17" t="s">
        <v>45</v>
      </c>
      <c r="J355" s="17" t="s">
        <v>45</v>
      </c>
    </row>
    <row r="356" spans="1:12" ht="16" x14ac:dyDescent="0.2">
      <c r="A356" s="16">
        <v>176</v>
      </c>
      <c r="B356" s="34">
        <v>43300</v>
      </c>
      <c r="C356" s="105">
        <v>8</v>
      </c>
      <c r="D356" s="17" t="s">
        <v>161</v>
      </c>
      <c r="E356" s="17" t="s">
        <v>60</v>
      </c>
      <c r="F356" s="114" t="s">
        <v>454</v>
      </c>
      <c r="G356" s="23" t="s">
        <v>294</v>
      </c>
      <c r="H356" s="17" t="s">
        <v>13</v>
      </c>
      <c r="I356" s="17" t="s">
        <v>181</v>
      </c>
      <c r="J356" s="17" t="s">
        <v>181</v>
      </c>
    </row>
    <row r="357" spans="1:12" ht="16" x14ac:dyDescent="0.2">
      <c r="A357" s="16">
        <v>176</v>
      </c>
      <c r="B357" s="34">
        <v>43643</v>
      </c>
      <c r="C357" s="105">
        <v>41</v>
      </c>
      <c r="D357" s="17" t="str">
        <f>IF(C357=1,"Roßstr. 9",IF(C357=2,"Pfalzstr. 17",IF(C357=3,"Schlossstr. 19",IF(C357=4,"Neanderstr. 15",IF(C357=5,"Luisenstr. 3",IF(C357=6,"Lindenstr. 267",IF(C357=7,"Engerstr. 3",IF(C357=8,"Schützenstr. 20",IF(C357=9,"Stockkampstr. 47",IF(C357=10,"Driburgerstr. 8",IF(C357=11,"Kölnerstr. 261",IF(C357=12,"Merowingerstr. 17",IF(C357=13,"Borsigstr. 7",IF(C357=14,"Gerresheimer Landstr. 152",IF(C357=15,"Hoppengarten 15",IF(C357=16,"Hoppengarten 17",IF(C357=17,"Könerstr. 215",IF(C357=18,"Kölnerstr. 217",IF(C357=19,"Alte Bachstr. 25",IF(C357=20,"Kranzstr. 103",IF(C357=21,"Broicherdorfstr. 3",IF(C357=22,"Grafenberger Allee 235",IF(C357=23,"Börnestr. 2",IF(C357=24,"Angerbenden 31",IF(C357=25,"Koppelskamp 10",IF(C357=26,"Koppelskamp 12",IF(C357=27,"Koppelskamp 14",IF(C357=28,"Koppelskamp 8",IF(C357=29,"Bismarckstr. 109",IF(C357=30,"Memelstr. 43",IF(C357=31,"Angermunderstr. 30",IF(C357=32,"Koppelskamp 5",IF(C357=33,"Koppelskamp 5a",IF(C357=34,"Koppelskamp 7",IF(C357=35,"Lintorfer Waldstr. 6",IF(C357=36,"Lintorfer Waldstr. 8",IF(C357=37,"Lintorfer Waldstr. 10",IF(C357=38,"Koloniestr. 205",IF(C357=39,"Metzerstr. 28",IF(C357=40,"Metzerstr. 28a",IF(C357=41,"Spichernstr. 27",IF(C357=42,"Metzerstr. 17",IF(C357=43,"Neumühlerstr. 35",IF(C357=44,"Neumühlerstr. 37",IF(C357=45,"Neumühlerstr. 39",IF(C357=46,"Neumühlerstr. 41",IF(C357=47,"Mündelheimerstr. 3-5",IF(C357=48,"Mendelsohnstr. 3"))))))))))))))))))))))))))))))))))))))))))))))))</f>
        <v>Spichernstr. 27</v>
      </c>
      <c r="E357" s="17" t="s">
        <v>264</v>
      </c>
      <c r="F357" s="17"/>
      <c r="G357" s="18" t="s">
        <v>1134</v>
      </c>
      <c r="H357" s="17" t="s">
        <v>13</v>
      </c>
      <c r="I357" s="17" t="s">
        <v>145</v>
      </c>
      <c r="J357" s="21" t="s">
        <v>145</v>
      </c>
    </row>
    <row r="358" spans="1:12" ht="16" x14ac:dyDescent="0.2">
      <c r="A358" s="16">
        <v>177</v>
      </c>
      <c r="B358" s="34">
        <v>43666</v>
      </c>
      <c r="C358" s="105">
        <v>32</v>
      </c>
      <c r="D358" s="17" t="s">
        <v>39</v>
      </c>
      <c r="E358" s="17" t="s">
        <v>40</v>
      </c>
      <c r="F358" s="17" t="s">
        <v>41</v>
      </c>
      <c r="G358" s="18" t="s">
        <v>456</v>
      </c>
      <c r="H358" s="17" t="s">
        <v>13</v>
      </c>
      <c r="I358" s="17" t="s">
        <v>14</v>
      </c>
      <c r="J358" s="17" t="s">
        <v>14</v>
      </c>
    </row>
    <row r="359" spans="1:12" ht="16" x14ac:dyDescent="0.2">
      <c r="A359" s="16">
        <v>177</v>
      </c>
      <c r="B359" s="34">
        <v>43643</v>
      </c>
      <c r="C359" s="105">
        <v>18</v>
      </c>
      <c r="D359" s="17" t="str">
        <f>IF(C359=1,"Roßstr. 9",IF(C359=2,"Pfalzstr. 17",IF(C359=3,"Schlossstr. 19",IF(C359=4,"Neanderstr. 15",IF(C359=5,"Luisenstr. 3",IF(C359=6,"Lindenstr. 267",IF(C359=7,"Engerstr. 3",IF(C359=8,"Schützenstr. 20",IF(C359=9,"Stockkampstr. 47",IF(C359=10,"Driburgerstr. 8",IF(C359=11,"Kölnerstr. 261",IF(C359=12,"Merowingerstr. 17",IF(C359=13,"Borsigstr. 7",IF(C359=14,"Gerresheimer Landstr. 152",IF(C359=15,"Hoppengarten 15",IF(C359=16,"Hoppengarten 17",IF(C359=17,"Könerstr. 215",IF(C359=18,"Kölnerstr. 217",IF(C359=19,"Alte Bachstr. 25",IF(C359=20,"Kranzstr. 103",IF(C359=21,"Broicherdorfstr. 3",IF(C359=22,"Grafenberger Allee 235",IF(C359=23,"Börnestr. 2",IF(C359=24,"Angerbenden 31",IF(C359=25,"Koppelskamp 10",IF(C359=26,"Koppelskamp 12",IF(C359=27,"Koppelskamp 14",IF(C359=28,"Koppelskamp 8",IF(C359=29,"Bismarckstr. 109",IF(C359=30,"Memelstr. 43",IF(C359=31,"Angermunderstr. 30",IF(C359=32,"Koppelskamp 5",IF(C359=33,"Koppelskamp 5a",IF(C359=34,"Koppelskamp 7",IF(C359=35,"Lintorfer Waldstr. 6",IF(C359=36,"Lintorfer Waldstr. 8",IF(C359=37,"Lintorfer Waldstr. 10",IF(C359=38,"Koloniestr. 205",IF(C359=39,"Metzerstr. 28",IF(C359=40,"Metzerstr. 28a",IF(C359=41,"Spichernstr. 27",IF(C359=42,"Metzerstr. 17",IF(C359=43,"Neumühlerstr. 35",IF(C359=44,"Neumühlerstr. 37",IF(C359=45,"Neumühlerstr. 39",IF(C359=46,"Neumühlerstr. 41",IF(C359=47,"Mündelheimerstr. 3-5",IF(C359=48,"Mendelsohnstr. 3"))))))))))))))))))))))))))))))))))))))))))))))))</f>
        <v>Kölnerstr. 217</v>
      </c>
      <c r="E359" s="17" t="s">
        <v>149</v>
      </c>
      <c r="F359" s="17" t="s">
        <v>209</v>
      </c>
      <c r="G359" s="18" t="s">
        <v>1135</v>
      </c>
      <c r="H359" s="17" t="s">
        <v>13</v>
      </c>
      <c r="I359" s="17" t="s">
        <v>136</v>
      </c>
      <c r="J359" s="17" t="s">
        <v>136</v>
      </c>
    </row>
    <row r="360" spans="1:12" ht="16" x14ac:dyDescent="0.2">
      <c r="A360" s="16">
        <v>178</v>
      </c>
      <c r="B360" s="34">
        <v>43305</v>
      </c>
      <c r="C360" s="105">
        <v>22</v>
      </c>
      <c r="D360" s="17" t="s">
        <v>173</v>
      </c>
      <c r="E360" s="17" t="s">
        <v>457</v>
      </c>
      <c r="F360" s="17" t="s">
        <v>458</v>
      </c>
      <c r="G360" s="18" t="s">
        <v>459</v>
      </c>
      <c r="H360" s="17" t="s">
        <v>13</v>
      </c>
      <c r="I360" s="17" t="s">
        <v>19</v>
      </c>
      <c r="J360" s="17" t="s">
        <v>19</v>
      </c>
    </row>
    <row r="361" spans="1:12" ht="16" x14ac:dyDescent="0.2">
      <c r="A361" s="16">
        <v>178</v>
      </c>
      <c r="B361" s="34">
        <v>43648</v>
      </c>
      <c r="C361" s="105">
        <v>36</v>
      </c>
      <c r="D361" s="17" t="str">
        <f>IF(C361=1,"Roßstr. 9",IF(C361=2,"Pfalzstr. 17",IF(C361=3,"Schlossstr. 19",IF(C361=4,"Neanderstr. 15",IF(C361=5,"Luisenstr. 3",IF(C361=6,"Lindenstr. 267",IF(C361=7,"Engerstr. 3",IF(C361=8,"Schützenstr. 20",IF(C361=9,"Stockkampstr. 47",IF(C361=10,"Driburgerstr. 8",IF(C361=11,"Kölnerstr. 261",IF(C361=12,"Merowingerstr. 17",IF(C361=13,"Borsigstr. 7",IF(C361=14,"Gerresheimer Landstr. 152",IF(C361=15,"Hoppengarten 15",IF(C361=16,"Hoppengarten 17",IF(C361=17,"Könerstr. 215",IF(C361=18,"Kölnerstr. 217",IF(C361=19,"Alte Bachstr. 25",IF(C361=20,"Kranzstr. 103",IF(C361=21,"Broicherdorfstr. 3",IF(C361=22,"Grafenberger Allee 235",IF(C361=23,"Börnestr. 2",IF(C361=24,"Angerbenden 31",IF(C361=25,"Koppelskamp 10",IF(C361=26,"Koppelskamp 12",IF(C361=27,"Koppelskamp 14",IF(C361=28,"Koppelskamp 8",IF(C361=29,"Bismarckstr. 109",IF(C361=30,"Memelstr. 43",IF(C361=31,"Angermunderstr. 30",IF(C361=32,"Koppelskamp 5",IF(C361=33,"Koppelskamp 5a",IF(C361=34,"Koppelskamp 7",IF(C361=35,"Lintorfer Waldstr. 6",IF(C361=36,"Lintorfer Waldstr. 8",IF(C361=37,"Lintorfer Waldstr. 10",IF(C361=38,"Koloniestr. 205",IF(C361=39,"Metzerstr. 28",IF(C361=40,"Metzerstr. 28a",IF(C361=41,"Spichernstr. 27",IF(C361=42,"Metzerstr. 17",IF(C361=43,"Neumühlerstr. 35",IF(C361=44,"Neumühlerstr. 37",IF(C361=45,"Neumühlerstr. 39",IF(C361=46,"Neumühlerstr. 41",IF(C361=47,"Mündelheimerstr. 3-5",IF(C361=48,"Mendelsohnstr. 3"))))))))))))))))))))))))))))))))))))))))))))))))</f>
        <v>Lintorfer Waldstr. 8</v>
      </c>
      <c r="E361" s="17" t="s">
        <v>138</v>
      </c>
      <c r="F361" s="17" t="s">
        <v>17</v>
      </c>
      <c r="G361" s="18" t="s">
        <v>1136</v>
      </c>
      <c r="H361" s="17" t="s">
        <v>13</v>
      </c>
      <c r="I361" s="17" t="s">
        <v>19</v>
      </c>
      <c r="J361" s="17" t="s">
        <v>19</v>
      </c>
    </row>
    <row r="362" spans="1:12" ht="16" x14ac:dyDescent="0.2">
      <c r="A362" s="16">
        <v>179</v>
      </c>
      <c r="B362" s="34">
        <v>43311</v>
      </c>
      <c r="C362" s="105">
        <v>18</v>
      </c>
      <c r="D362" s="17" t="s">
        <v>437</v>
      </c>
      <c r="E362" s="17" t="s">
        <v>269</v>
      </c>
      <c r="F362" s="17" t="s">
        <v>460</v>
      </c>
      <c r="G362" s="18" t="s">
        <v>61</v>
      </c>
      <c r="H362" s="17" t="s">
        <v>23</v>
      </c>
      <c r="I362" s="17" t="s">
        <v>14</v>
      </c>
      <c r="J362" s="17" t="s">
        <v>14</v>
      </c>
    </row>
    <row r="363" spans="1:12" ht="16" x14ac:dyDescent="0.2">
      <c r="A363" s="16">
        <v>179</v>
      </c>
      <c r="B363" s="34">
        <v>43648</v>
      </c>
      <c r="C363" s="105">
        <v>36</v>
      </c>
      <c r="D363" s="17" t="str">
        <f>IF(C363=1,"Roßstr. 9",IF(C363=2,"Pfalzstr. 17",IF(C363=3,"Schlossstr. 19",IF(C363=4,"Neanderstr. 15",IF(C363=5,"Luisenstr. 3",IF(C363=6,"Lindenstr. 267",IF(C363=7,"Engerstr. 3",IF(C363=8,"Schützenstr. 20",IF(C363=9,"Stockkampstr. 47",IF(C363=10,"Driburgerstr. 8",IF(C363=11,"Kölnerstr. 261",IF(C363=12,"Merowingerstr. 17",IF(C363=13,"Borsigstr. 7",IF(C363=14,"Gerresheimer Landstr. 152",IF(C363=15,"Hoppengarten 15",IF(C363=16,"Hoppengarten 17",IF(C363=17,"Könerstr. 215",IF(C363=18,"Kölnerstr. 217",IF(C363=19,"Alte Bachstr. 25",IF(C363=20,"Kranzstr. 103",IF(C363=21,"Broicherdorfstr. 3",IF(C363=22,"Grafenberger Allee 235",IF(C363=23,"Börnestr. 2",IF(C363=24,"Angerbenden 31",IF(C363=25,"Koppelskamp 10",IF(C363=26,"Koppelskamp 12",IF(C363=27,"Koppelskamp 14",IF(C363=28,"Koppelskamp 8",IF(C363=29,"Bismarckstr. 109",IF(C363=30,"Memelstr. 43",IF(C363=31,"Angermunderstr. 30",IF(C363=32,"Koppelskamp 5",IF(C363=33,"Koppelskamp 5a",IF(C363=34,"Koppelskamp 7",IF(C363=35,"Lintorfer Waldstr. 6",IF(C363=36,"Lintorfer Waldstr. 8",IF(C363=37,"Lintorfer Waldstr. 10",IF(C363=38,"Koloniestr. 205",IF(C363=39,"Metzerstr. 28",IF(C363=40,"Metzerstr. 28a",IF(C363=41,"Spichernstr. 27",IF(C363=42,"Metzerstr. 17",IF(C363=43,"Neumühlerstr. 35",IF(C363=44,"Neumühlerstr. 37",IF(C363=45,"Neumühlerstr. 39",IF(C363=46,"Neumühlerstr. 41",IF(C363=47,"Mündelheimerstr. 3-5",IF(C363=48,"Mendelsohnstr. 3"))))))))))))))))))))))))))))))))))))))))))))))))</f>
        <v>Lintorfer Waldstr. 8</v>
      </c>
      <c r="E363" s="17" t="s">
        <v>138</v>
      </c>
      <c r="F363" s="17" t="s">
        <v>17</v>
      </c>
      <c r="G363" s="18" t="s">
        <v>1137</v>
      </c>
      <c r="H363" s="17" t="s">
        <v>13</v>
      </c>
      <c r="I363" s="17" t="s">
        <v>119</v>
      </c>
      <c r="J363" s="17" t="s">
        <v>119</v>
      </c>
    </row>
    <row r="364" spans="1:12" ht="16" x14ac:dyDescent="0.2">
      <c r="A364" s="16">
        <v>180</v>
      </c>
      <c r="B364" s="34">
        <v>43311</v>
      </c>
      <c r="C364" s="105">
        <v>33</v>
      </c>
      <c r="D364" s="17" t="s">
        <v>81</v>
      </c>
      <c r="E364" s="17" t="s">
        <v>263</v>
      </c>
      <c r="F364" s="17" t="s">
        <v>337</v>
      </c>
      <c r="G364" s="18" t="s">
        <v>461</v>
      </c>
      <c r="H364" s="17" t="s">
        <v>13</v>
      </c>
      <c r="I364" s="17" t="s">
        <v>14</v>
      </c>
      <c r="J364" s="17" t="s">
        <v>14</v>
      </c>
    </row>
    <row r="365" spans="1:12" ht="16" x14ac:dyDescent="0.2">
      <c r="A365" s="16">
        <v>180</v>
      </c>
      <c r="B365" s="34">
        <v>43648</v>
      </c>
      <c r="C365" s="105">
        <v>36</v>
      </c>
      <c r="D365" s="17" t="str">
        <f>IF(C365=1,"Roßstr. 9",IF(C365=2,"Pfalzstr. 17",IF(C365=3,"Schlossstr. 19",IF(C365=4,"Neanderstr. 15",IF(C365=5,"Luisenstr. 3",IF(C365=6,"Lindenstr. 267",IF(C365=7,"Engerstr. 3",IF(C365=8,"Schützenstr. 20",IF(C365=9,"Stockkampstr. 47",IF(C365=10,"Driburgerstr. 8",IF(C365=11,"Kölnerstr. 261",IF(C365=12,"Merowingerstr. 17",IF(C365=13,"Borsigstr. 7",IF(C365=14,"Gerresheimer Landstr. 152",IF(C365=15,"Hoppengarten 15",IF(C365=16,"Hoppengarten 17",IF(C365=17,"Könerstr. 215",IF(C365=18,"Kölnerstr. 217",IF(C365=19,"Alte Bachstr. 25",IF(C365=20,"Kranzstr. 103",IF(C365=21,"Broicherdorfstr. 3",IF(C365=22,"Grafenberger Allee 235",IF(C365=23,"Börnestr. 2",IF(C365=24,"Angerbenden 31",IF(C365=25,"Koppelskamp 10",IF(C365=26,"Koppelskamp 12",IF(C365=27,"Koppelskamp 14",IF(C365=28,"Koppelskamp 8",IF(C365=29,"Bismarckstr. 109",IF(C365=30,"Memelstr. 43",IF(C365=31,"Angermunderstr. 30",IF(C365=32,"Koppelskamp 5",IF(C365=33,"Koppelskamp 5a",IF(C365=34,"Koppelskamp 7",IF(C365=35,"Lintorfer Waldstr. 6",IF(C365=36,"Lintorfer Waldstr. 8",IF(C365=37,"Lintorfer Waldstr. 10",IF(C365=38,"Koloniestr. 205",IF(C365=39,"Metzerstr. 28",IF(C365=40,"Metzerstr. 28a",IF(C365=41,"Spichernstr. 27",IF(C365=42,"Metzerstr. 17",IF(C365=43,"Neumühlerstr. 35",IF(C365=44,"Neumühlerstr. 37",IF(C365=45,"Neumühlerstr. 39",IF(C365=46,"Neumühlerstr. 41",IF(C365=47,"Mündelheimerstr. 3-5",IF(C365=48,"Mendelsohnstr. 3"))))))))))))))))))))))))))))))))))))))))))))))))</f>
        <v>Lintorfer Waldstr. 8</v>
      </c>
      <c r="E365" s="17" t="s">
        <v>352</v>
      </c>
      <c r="F365" s="17" t="s">
        <v>1138</v>
      </c>
      <c r="G365" s="18" t="s">
        <v>1139</v>
      </c>
      <c r="H365" s="17" t="s">
        <v>13</v>
      </c>
      <c r="I365" s="17" t="s">
        <v>76</v>
      </c>
      <c r="J365" s="21" t="s">
        <v>76</v>
      </c>
    </row>
    <row r="366" spans="1:12" ht="16" x14ac:dyDescent="0.2">
      <c r="A366" s="16">
        <v>181</v>
      </c>
      <c r="B366" s="34">
        <v>43312</v>
      </c>
      <c r="C366" s="105">
        <v>41</v>
      </c>
      <c r="D366" s="17" t="s">
        <v>26</v>
      </c>
      <c r="E366" s="17" t="s">
        <v>235</v>
      </c>
      <c r="F366" s="17" t="s">
        <v>462</v>
      </c>
      <c r="G366" s="18" t="s">
        <v>29</v>
      </c>
      <c r="H366" s="17" t="s">
        <v>463</v>
      </c>
      <c r="I366" s="23" t="s">
        <v>30</v>
      </c>
      <c r="J366" s="17" t="s">
        <v>30</v>
      </c>
    </row>
    <row r="367" spans="1:12" ht="16" x14ac:dyDescent="0.2">
      <c r="A367" s="16">
        <v>181</v>
      </c>
      <c r="B367" s="34">
        <v>43649</v>
      </c>
      <c r="C367" s="105">
        <v>46</v>
      </c>
      <c r="D367" s="17" t="str">
        <f>IF(C367=1,"Roßstr. 9",IF(C367=2,"Pfalzstr. 17",IF(C367=3,"Schlossstr. 19",IF(C367=4,"Neanderstr. 15",IF(C367=5,"Luisenstr. 3",IF(C367=6,"Lindenstr. 267",IF(C367=7,"Engerstr. 3",IF(C367=8,"Schützenstr. 20",IF(C367=9,"Stockkampstr. 47",IF(C367=10,"Driburgerstr. 8",IF(C367=11,"Kölnerstr. 261",IF(C367=12,"Merowingerstr. 17",IF(C367=13,"Borsigstr. 7",IF(C367=14,"Gerresheimer Landstr. 152",IF(C367=15,"Hoppengarten 15",IF(C367=16,"Hoppengarten 17",IF(C367=17,"Könerstr. 215",IF(C367=18,"Kölnerstr. 217",IF(C367=19,"Alte Bachstr. 25",IF(C367=20,"Kranzstr. 103",IF(C367=21,"Broicherdorfstr. 3",IF(C367=22,"Grafenberger Allee 235",IF(C367=23,"Börnestr. 2",IF(C367=24,"Angerbenden 31",IF(C367=25,"Koppelskamp 10",IF(C367=26,"Koppelskamp 12",IF(C367=27,"Koppelskamp 14",IF(C367=28,"Koppelskamp 8",IF(C367=29,"Bismarckstr. 109",IF(C367=30,"Memelstr. 43",IF(C367=31,"Angermunderstr. 30",IF(C367=32,"Koppelskamp 5",IF(C367=33,"Koppelskamp 5a",IF(C367=34,"Koppelskamp 7",IF(C367=35,"Lintorfer Waldstr. 6",IF(C367=36,"Lintorfer Waldstr. 8",IF(C367=37,"Lintorfer Waldstr. 10",IF(C367=38,"Koloniestr. 205",IF(C367=39,"Metzerstr. 28",IF(C367=40,"Metzerstr. 28a",IF(C367=41,"Spichernstr. 27",IF(C367=42,"Metzerstr. 17",IF(C367=43,"Neumühlerstr. 35",IF(C367=44,"Neumühlerstr. 37",IF(C367=45,"Neumühlerstr. 39",IF(C367=46,"Neumühlerstr. 41",IF(C367=47,"Mündelheimerstr. 3-5",IF(C367=48,"Mendelsohnstr. 3"))))))))))))))))))))))))))))))))))))))))))))))))</f>
        <v>Neumühlerstr. 41</v>
      </c>
      <c r="E367" s="17" t="s">
        <v>352</v>
      </c>
      <c r="F367" s="17"/>
      <c r="G367" s="18" t="s">
        <v>1140</v>
      </c>
      <c r="H367" s="17" t="s">
        <v>13</v>
      </c>
      <c r="I367" s="17" t="s">
        <v>76</v>
      </c>
      <c r="J367" s="17" t="s">
        <v>76</v>
      </c>
    </row>
    <row r="368" spans="1:12" ht="16" x14ac:dyDescent="0.2">
      <c r="A368" s="16">
        <v>182</v>
      </c>
      <c r="B368" s="34">
        <v>43654</v>
      </c>
      <c r="C368" s="105">
        <v>6</v>
      </c>
      <c r="D368" s="17" t="str">
        <f>IF(C368=1,"Roßstr. 9",IF(C368=2,"Pfalzstr. 17",IF(C368=3,"Schlossstr. 19",IF(C368=4,"Neanderstr. 15",IF(C368=5,"Luisenstr. 3",IF(C368=6,"Lindenstr. 267",IF(C368=7,"Engerstr. 3",IF(C368=8,"Schützenstr. 20",IF(C368=9,"Stockkampstr. 47",IF(C368=10,"Driburgerstr. 8",IF(C368=11,"Kölnerstr. 261",IF(C368=12,"Merowingerstr. 17",IF(C368=13,"Borsigstr. 7",IF(C368=14,"Gerresheimer Landstr. 152",IF(C368=15,"Hoppengarten 15",IF(C368=16,"Hoppengarten 17",IF(C368=17,"Könerstr. 215",IF(C368=18,"Kölnerstr. 217",IF(C368=19,"Alte Bachstr. 25",IF(C368=20,"Kranzstr. 103",IF(C368=21,"Broicherdorfstr. 3",IF(C368=22,"Grafenberger Allee 235",IF(C368=23,"Börnestr. 2",IF(C368=24,"Angerbenden 31",IF(C368=25,"Koppelskamp 10",IF(C368=26,"Koppelskamp 12",IF(C368=27,"Koppelskamp 14",IF(C368=28,"Koppelskamp 8",IF(C368=29,"Bismarckstr. 109",IF(C368=30,"Memelstr. 43",IF(C368=31,"Angermunderstr. 30",IF(C368=32,"Koppelskamp 5",IF(C368=33,"Koppelskamp 5a",IF(C368=34,"Koppelskamp 7",IF(C368=35,"Lintorfer Waldstr. 6",IF(C368=36,"Lintorfer Waldstr. 8",IF(C368=37,"Lintorfer Waldstr. 10",IF(C368=38,"Koloniestr. 205",IF(C368=39,"Metzerstr. 28",IF(C368=40,"Metzerstr. 28a",IF(C368=41,"Spichernstr. 27",IF(C368=42,"Metzerstr. 17",IF(C368=43,"Neumühlerstr. 35",IF(C368=44,"Neumühlerstr. 37",IF(C368=45,"Neumühlerstr. 39",IF(C368=46,"Neumühlerstr. 41",IF(C368=47,"Mündelheimerstr. 3-5",IF(C368=48,"Mendelsohnstr. 3"))))))))))))))))))))))))))))))))))))))))))))))))</f>
        <v>Lindenstr. 267</v>
      </c>
      <c r="E368" s="17" t="s">
        <v>27</v>
      </c>
      <c r="F368" s="17" t="s">
        <v>1141</v>
      </c>
      <c r="G368" s="18" t="s">
        <v>1142</v>
      </c>
      <c r="H368" s="17" t="s">
        <v>58</v>
      </c>
      <c r="I368" s="17" t="s">
        <v>48</v>
      </c>
      <c r="J368" s="21" t="s">
        <v>48</v>
      </c>
    </row>
    <row r="369" spans="1:10" ht="16" x14ac:dyDescent="0.2">
      <c r="A369" s="16">
        <v>182</v>
      </c>
      <c r="B369" s="34">
        <v>43312</v>
      </c>
      <c r="C369" s="105">
        <v>34</v>
      </c>
      <c r="D369" s="17" t="s">
        <v>355</v>
      </c>
      <c r="E369" s="17" t="s">
        <v>138</v>
      </c>
      <c r="F369" s="17" t="s">
        <v>464</v>
      </c>
      <c r="G369" s="18" t="s">
        <v>465</v>
      </c>
      <c r="H369" s="17" t="s">
        <v>13</v>
      </c>
      <c r="I369" s="17" t="s">
        <v>119</v>
      </c>
      <c r="J369" s="17" t="s">
        <v>119</v>
      </c>
    </row>
    <row r="370" spans="1:10" ht="16" x14ac:dyDescent="0.2">
      <c r="A370" s="16">
        <v>183</v>
      </c>
      <c r="B370" s="34">
        <v>43312</v>
      </c>
      <c r="C370" s="105">
        <v>7</v>
      </c>
      <c r="D370" s="17" t="s">
        <v>55</v>
      </c>
      <c r="E370" s="17" t="s">
        <v>466</v>
      </c>
      <c r="F370" s="17" t="s">
        <v>467</v>
      </c>
      <c r="G370" s="18" t="s">
        <v>468</v>
      </c>
      <c r="H370" s="17" t="s">
        <v>13</v>
      </c>
      <c r="I370" s="17" t="s">
        <v>181</v>
      </c>
      <c r="J370" s="17" t="s">
        <v>469</v>
      </c>
    </row>
    <row r="371" spans="1:10" ht="16" x14ac:dyDescent="0.2">
      <c r="A371" s="16">
        <v>183</v>
      </c>
      <c r="B371" s="34">
        <v>43657</v>
      </c>
      <c r="C371" s="105">
        <v>2</v>
      </c>
      <c r="D371" s="17" t="str">
        <f>IF(C371=1,"Roßstr. 9",IF(C371=2,"Pfalzstr. 17",IF(C371=3,"Schlossstr. 19",IF(C371=4,"Neanderstr. 15",IF(C371=5,"Luisenstr. 3",IF(C371=6,"Lindenstr. 267",IF(C371=7,"Engerstr. 3",IF(C371=8,"Schützenstr. 20",IF(C371=9,"Stockkampstr. 47",IF(C371=10,"Driburgerstr. 8",IF(C371=11,"Kölnerstr. 261",IF(C371=12,"Merowingerstr. 17",IF(C371=13,"Borsigstr. 7",IF(C371=14,"Gerresheimer Landstr. 152",IF(C371=15,"Hoppengarten 15",IF(C371=16,"Hoppengarten 17",IF(C371=17,"Könerstr. 215",IF(C371=18,"Kölnerstr. 217",IF(C371=19,"Alte Bachstr. 25",IF(C371=20,"Kranzstr. 103",IF(C371=21,"Broicherdorfstr. 3",IF(C371=22,"Grafenberger Allee 235",IF(C371=23,"Börnestr. 2",IF(C371=24,"Angerbenden 31",IF(C371=25,"Koppelskamp 10",IF(C371=26,"Koppelskamp 12",IF(C371=27,"Koppelskamp 14",IF(C371=28,"Koppelskamp 8",IF(C371=29,"Bismarckstr. 109",IF(C371=30,"Memelstr. 43",IF(C371=31,"Angermunderstr. 30",IF(C371=32,"Koppelskamp 5",IF(C371=33,"Koppelskamp 5a",IF(C371=34,"Koppelskamp 7",IF(C371=35,"Lintorfer Waldstr. 6",IF(C371=36,"Lintorfer Waldstr. 8",IF(C371=37,"Lintorfer Waldstr. 10",IF(C371=38,"Koloniestr. 205",IF(C371=39,"Metzerstr. 28",IF(C371=40,"Metzerstr. 28a",IF(C371=41,"Spichernstr. 27",IF(C371=42,"Metzerstr. 17",IF(C371=43,"Neumühlerstr. 35",IF(C371=44,"Neumühlerstr. 37",IF(C371=45,"Neumühlerstr. 39",IF(C371=46,"Neumühlerstr. 41",IF(C371=47,"Mündelheimerstr. 3-5",IF(C371=48,"Mendelsohnstr. 3"))))))))))))))))))))))))))))))))))))))))))))))))</f>
        <v>Pfalzstr. 17</v>
      </c>
      <c r="E371" s="17" t="s">
        <v>16</v>
      </c>
      <c r="F371" s="17" t="s">
        <v>1009</v>
      </c>
      <c r="G371" s="18" t="s">
        <v>788</v>
      </c>
      <c r="H371" s="17" t="s">
        <v>13</v>
      </c>
      <c r="I371" s="17" t="s">
        <v>19</v>
      </c>
      <c r="J371" s="21" t="s">
        <v>900</v>
      </c>
    </row>
    <row r="372" spans="1:10" ht="16" x14ac:dyDescent="0.2">
      <c r="A372" s="16">
        <v>184</v>
      </c>
      <c r="B372" s="34">
        <v>43313</v>
      </c>
      <c r="C372" s="105">
        <v>29</v>
      </c>
      <c r="D372" s="17" t="s">
        <v>98</v>
      </c>
      <c r="E372" s="17" t="s">
        <v>202</v>
      </c>
      <c r="F372" s="17" t="s">
        <v>470</v>
      </c>
      <c r="G372" s="18" t="s">
        <v>471</v>
      </c>
      <c r="H372" s="17" t="s">
        <v>13</v>
      </c>
      <c r="I372" s="17" t="s">
        <v>30</v>
      </c>
      <c r="J372" s="17" t="s">
        <v>30</v>
      </c>
    </row>
    <row r="373" spans="1:10" ht="16" x14ac:dyDescent="0.2">
      <c r="A373" s="16">
        <v>184</v>
      </c>
      <c r="B373" s="34">
        <v>43657</v>
      </c>
      <c r="C373" s="105">
        <v>11</v>
      </c>
      <c r="D373" s="17" t="str">
        <f>IF(C373=1,"Roßstr. 9",IF(C373=2,"Pfalzstr. 17",IF(C373=3,"Schlossstr. 19",IF(C373=4,"Neanderstr. 15",IF(C373=5,"Luisenstr. 3",IF(C373=6,"Lindenstr. 267",IF(C373=7,"Engerstr. 3",IF(C373=8,"Schützenstr. 20",IF(C373=9,"Stockkampstr. 47",IF(C373=10,"Driburgerstr. 8",IF(C373=11,"Kölnerstr. 261",IF(C373=12,"Merowingerstr. 17",IF(C373=13,"Borsigstr. 7",IF(C373=14,"Gerresheimer Landstr. 152",IF(C373=15,"Hoppengarten 15",IF(C373=16,"Hoppengarten 17",IF(C373=17,"Könerstr. 215",IF(C373=18,"Kölnerstr. 217",IF(C373=19,"Alte Bachstr. 25",IF(C373=20,"Kranzstr. 103",IF(C373=21,"Broicherdorfstr. 3",IF(C373=22,"Grafenberger Allee 235",IF(C373=23,"Börnestr. 2",IF(C373=24,"Angerbenden 31",IF(C373=25,"Koppelskamp 10",IF(C373=26,"Koppelskamp 12",IF(C373=27,"Koppelskamp 14",IF(C373=28,"Koppelskamp 8",IF(C373=29,"Bismarckstr. 109",IF(C373=30,"Memelstr. 43",IF(C373=31,"Angermunderstr. 30",IF(C373=32,"Koppelskamp 5",IF(C373=33,"Koppelskamp 5a",IF(C373=34,"Koppelskamp 7",IF(C373=35,"Lintorfer Waldstr. 6",IF(C373=36,"Lintorfer Waldstr. 8",IF(C373=37,"Lintorfer Waldstr. 10",IF(C373=38,"Koloniestr. 205",IF(C373=39,"Metzerstr. 28",IF(C373=40,"Metzerstr. 28a",IF(C373=41,"Spichernstr. 27",IF(C373=42,"Metzerstr. 17",IF(C373=43,"Neumühlerstr. 35",IF(C373=44,"Neumühlerstr. 37",IF(C373=45,"Neumühlerstr. 39",IF(C373=46,"Neumühlerstr. 41",IF(C373=47,"Mündelheimerstr. 3-5",IF(C373=48,"Mendelsohnstr. 3"))))))))))))))))))))))))))))))))))))))))))))))))</f>
        <v>Kölnerstr. 261</v>
      </c>
      <c r="E373" s="17" t="s">
        <v>466</v>
      </c>
      <c r="F373" s="17"/>
      <c r="G373" s="18" t="s">
        <v>1143</v>
      </c>
      <c r="H373" s="17" t="s">
        <v>13</v>
      </c>
      <c r="I373" s="17" t="s">
        <v>14</v>
      </c>
      <c r="J373" s="21" t="s">
        <v>114</v>
      </c>
    </row>
    <row r="374" spans="1:10" ht="16" x14ac:dyDescent="0.2">
      <c r="A374" s="16">
        <v>185</v>
      </c>
      <c r="B374" s="34">
        <v>43657</v>
      </c>
      <c r="C374" s="105">
        <v>28</v>
      </c>
      <c r="D374" s="17" t="str">
        <f>IF(C374=1,"Roßstr. 9",IF(C374=2,"Pfalzstr. 17",IF(C374=3,"Schlossstr. 19",IF(C374=4,"Neanderstr. 15",IF(C374=5,"Luisenstr. 3",IF(C374=6,"Lindenstr. 267",IF(C374=7,"Engerstr. 3",IF(C374=8,"Schützenstr. 20",IF(C374=9,"Stockkampstr. 47",IF(C374=10,"Driburgerstr. 8",IF(C374=11,"Kölnerstr. 261",IF(C374=12,"Merowingerstr. 17",IF(C374=13,"Borsigstr. 7",IF(C374=14,"Gerresheimer Landstr. 152",IF(C374=15,"Hoppengarten 15",IF(C374=16,"Hoppengarten 17",IF(C374=17,"Könerstr. 215",IF(C374=18,"Kölnerstr. 217",IF(C374=19,"Alte Bachstr. 25",IF(C374=20,"Kranzstr. 103",IF(C374=21,"Broicherdorfstr. 3",IF(C374=22,"Grafenberger Allee 235",IF(C374=23,"Börnestr. 2",IF(C374=24,"Angerbenden 31",IF(C374=25,"Koppelskamp 10",IF(C374=26,"Koppelskamp 12",IF(C374=27,"Koppelskamp 14",IF(C374=28,"Koppelskamp 8",IF(C374=29,"Bismarckstr. 109",IF(C374=30,"Memelstr. 43",IF(C374=31,"Angermunderstr. 30",IF(C374=32,"Koppelskamp 5",IF(C374=33,"Koppelskamp 5a",IF(C374=34,"Koppelskamp 7",IF(C374=35,"Lintorfer Waldstr. 6",IF(C374=36,"Lintorfer Waldstr. 8",IF(C374=37,"Lintorfer Waldstr. 10",IF(C374=38,"Koloniestr. 205",IF(C374=39,"Metzerstr. 28",IF(C374=40,"Metzerstr. 28a",IF(C374=41,"Spichernstr. 27",IF(C374=42,"Metzerstr. 17",IF(C374=43,"Neumühlerstr. 35",IF(C374=44,"Neumühlerstr. 37",IF(C374=45,"Neumühlerstr. 39",IF(C374=46,"Neumühlerstr. 41",IF(C374=47,"Mündelheimerstr. 3-5",IF(C374=48,"Mendelsohnstr. 3"))))))))))))))))))))))))))))))))))))))))))))))))</f>
        <v>Koppelskamp 8</v>
      </c>
      <c r="E374" s="17" t="s">
        <v>1011</v>
      </c>
      <c r="F374" s="17"/>
      <c r="G374" s="18" t="s">
        <v>1144</v>
      </c>
      <c r="H374" s="17" t="s">
        <v>13</v>
      </c>
      <c r="I374" s="17" t="s">
        <v>14</v>
      </c>
      <c r="J374" s="21" t="s">
        <v>14</v>
      </c>
    </row>
    <row r="375" spans="1:10" ht="16" x14ac:dyDescent="0.2">
      <c r="A375" s="16">
        <v>185</v>
      </c>
      <c r="B375" s="34">
        <v>43319</v>
      </c>
      <c r="C375" s="105">
        <v>41</v>
      </c>
      <c r="D375" s="17" t="s">
        <v>26</v>
      </c>
      <c r="E375" s="17" t="s">
        <v>138</v>
      </c>
      <c r="F375" s="17" t="s">
        <v>462</v>
      </c>
      <c r="G375" s="18" t="s">
        <v>472</v>
      </c>
      <c r="H375" s="17" t="s">
        <v>13</v>
      </c>
      <c r="I375" s="17" t="s">
        <v>14</v>
      </c>
      <c r="J375" s="17" t="s">
        <v>14</v>
      </c>
    </row>
    <row r="376" spans="1:10" ht="16" x14ac:dyDescent="0.2">
      <c r="A376" s="16">
        <v>186</v>
      </c>
      <c r="B376" s="34">
        <v>43319</v>
      </c>
      <c r="C376" s="105">
        <v>10</v>
      </c>
      <c r="D376" s="17" t="s">
        <v>9</v>
      </c>
      <c r="E376" s="17" t="s">
        <v>149</v>
      </c>
      <c r="F376" s="17" t="s">
        <v>473</v>
      </c>
      <c r="G376" s="18" t="s">
        <v>474</v>
      </c>
      <c r="H376" s="17" t="s">
        <v>13</v>
      </c>
      <c r="I376" s="17" t="s">
        <v>14</v>
      </c>
      <c r="J376" s="17" t="s">
        <v>14</v>
      </c>
    </row>
    <row r="377" spans="1:10" ht="16" x14ac:dyDescent="0.2">
      <c r="A377" s="16">
        <v>186</v>
      </c>
      <c r="B377" s="34">
        <v>43657</v>
      </c>
      <c r="C377" s="105">
        <v>44</v>
      </c>
      <c r="D377" s="17" t="str">
        <f>IF(C377=1,"Roßstr. 9",IF(C377=2,"Pfalzstr. 17",IF(C377=3,"Schlossstr. 19",IF(C377=4,"Neanderstr. 15",IF(C377=5,"Luisenstr. 3",IF(C377=6,"Lindenstr. 267",IF(C377=7,"Engerstr. 3",IF(C377=8,"Schützenstr. 20",IF(C377=9,"Stockkampstr. 47",IF(C377=10,"Driburgerstr. 8",IF(C377=11,"Kölnerstr. 261",IF(C377=12,"Merowingerstr. 17",IF(C377=13,"Borsigstr. 7",IF(C377=14,"Gerresheimer Landstr. 152",IF(C377=15,"Hoppengarten 15",IF(C377=16,"Hoppengarten 17",IF(C377=17,"Könerstr. 215",IF(C377=18,"Kölnerstr. 217",IF(C377=19,"Alte Bachstr. 25",IF(C377=20,"Kranzstr. 103",IF(C377=21,"Broicherdorfstr. 3",IF(C377=22,"Grafenberger Allee 235",IF(C377=23,"Börnestr. 2",IF(C377=24,"Angerbenden 31",IF(C377=25,"Koppelskamp 10",IF(C377=26,"Koppelskamp 12",IF(C377=27,"Koppelskamp 14",IF(C377=28,"Koppelskamp 8",IF(C377=29,"Bismarckstr. 109",IF(C377=30,"Memelstr. 43",IF(C377=31,"Angermunderstr. 30",IF(C377=32,"Koppelskamp 5",IF(C377=33,"Koppelskamp 5a",IF(C377=34,"Koppelskamp 7",IF(C377=35,"Lintorfer Waldstr. 6",IF(C377=36,"Lintorfer Waldstr. 8",IF(C377=37,"Lintorfer Waldstr. 10",IF(C377=38,"Koloniestr. 205",IF(C377=39,"Metzerstr. 28",IF(C377=40,"Metzerstr. 28a",IF(C377=41,"Spichernstr. 27",IF(C377=42,"Metzerstr. 17",IF(C377=43,"Neumühlerstr. 35",IF(C377=44,"Neumühlerstr. 37",IF(C377=45,"Neumühlerstr. 39",IF(C377=46,"Neumühlerstr. 41",IF(C377=47,"Mündelheimerstr. 3-5",IF(C377=48,"Mendelsohnstr. 3"))))))))))))))))))))))))))))))))))))))))))))))))</f>
        <v>Neumühlerstr. 37</v>
      </c>
      <c r="E377" s="17" t="s">
        <v>637</v>
      </c>
      <c r="F377" s="17" t="s">
        <v>411</v>
      </c>
      <c r="G377" s="18" t="s">
        <v>1145</v>
      </c>
      <c r="H377" s="17" t="s">
        <v>13</v>
      </c>
      <c r="I377" s="17" t="s">
        <v>19</v>
      </c>
      <c r="J377" s="17" t="s">
        <v>19</v>
      </c>
    </row>
    <row r="378" spans="1:10" ht="16" x14ac:dyDescent="0.2">
      <c r="A378" s="16">
        <v>187</v>
      </c>
      <c r="B378" s="34">
        <v>43320</v>
      </c>
      <c r="C378" s="105">
        <v>6</v>
      </c>
      <c r="D378" s="17" t="s">
        <v>283</v>
      </c>
      <c r="E378" s="17" t="s">
        <v>476</v>
      </c>
      <c r="F378" s="17" t="s">
        <v>477</v>
      </c>
      <c r="G378" s="18" t="s">
        <v>478</v>
      </c>
      <c r="H378" s="17" t="s">
        <v>479</v>
      </c>
      <c r="I378" s="17" t="s">
        <v>14</v>
      </c>
      <c r="J378" s="17" t="s">
        <v>14</v>
      </c>
    </row>
    <row r="379" spans="1:10" ht="32" x14ac:dyDescent="0.2">
      <c r="A379" s="16">
        <v>187</v>
      </c>
      <c r="B379" s="34">
        <v>43657</v>
      </c>
      <c r="C379" s="105">
        <v>39</v>
      </c>
      <c r="D379" s="17" t="str">
        <f>IF(C379=1,"Roßstr. 9",IF(C379=2,"Pfalzstr. 17",IF(C379=3,"Schlossstr. 19",IF(C379=4,"Neanderstr. 15",IF(C379=5,"Luisenstr. 3",IF(C379=6,"Lindenstr. 267",IF(C379=7,"Engerstr. 3",IF(C379=8,"Schützenstr. 20",IF(C379=9,"Stockkampstr. 47",IF(C379=10,"Driburgerstr. 8",IF(C379=11,"Kölnerstr. 261",IF(C379=12,"Merowingerstr. 17",IF(C379=13,"Borsigstr. 7",IF(C379=14,"Gerresheimer Landstr. 152",IF(C379=15,"Hoppengarten 15",IF(C379=16,"Hoppengarten 17",IF(C379=17,"Könerstr. 215",IF(C379=18,"Kölnerstr. 217",IF(C379=19,"Alte Bachstr. 25",IF(C379=20,"Kranzstr. 103",IF(C379=21,"Broicherdorfstr. 3",IF(C379=22,"Grafenberger Allee 235",IF(C379=23,"Börnestr. 2",IF(C379=24,"Angerbenden 31",IF(C379=25,"Koppelskamp 10",IF(C379=26,"Koppelskamp 12",IF(C379=27,"Koppelskamp 14",IF(C379=28,"Koppelskamp 8",IF(C379=29,"Bismarckstr. 109",IF(C379=30,"Memelstr. 43",IF(C379=31,"Angermunderstr. 30",IF(C379=32,"Koppelskamp 5",IF(C379=33,"Koppelskamp 5a",IF(C379=34,"Koppelskamp 7",IF(C379=35,"Lintorfer Waldstr. 6",IF(C379=36,"Lintorfer Waldstr. 8",IF(C379=37,"Lintorfer Waldstr. 10",IF(C379=38,"Koloniestr. 205",IF(C379=39,"Metzerstr. 28",IF(C379=40,"Metzerstr. 28a",IF(C379=41,"Spichernstr. 27",IF(C379=42,"Metzerstr. 17",IF(C379=43,"Neumühlerstr. 35",IF(C379=44,"Neumühlerstr. 37",IF(C379=45,"Neumühlerstr. 39",IF(C379=46,"Neumühlerstr. 41",IF(C379=47,"Mündelheimerstr. 3-5",IF(C379=48,"Mendelsohnstr. 3"))))))))))))))))))))))))))))))))))))))))))))))))</f>
        <v>Metzerstr. 28</v>
      </c>
      <c r="E379" s="17" t="s">
        <v>10</v>
      </c>
      <c r="F379" s="17" t="s">
        <v>153</v>
      </c>
      <c r="G379" s="18" t="s">
        <v>1146</v>
      </c>
      <c r="H379" s="17" t="s">
        <v>13</v>
      </c>
      <c r="I379" s="17" t="s">
        <v>19</v>
      </c>
      <c r="J379" s="17" t="s">
        <v>19</v>
      </c>
    </row>
    <row r="380" spans="1:10" ht="32" x14ac:dyDescent="0.2">
      <c r="A380" s="16">
        <v>188</v>
      </c>
      <c r="B380" s="34">
        <v>43320</v>
      </c>
      <c r="C380" s="105">
        <v>20</v>
      </c>
      <c r="D380" s="17" t="s">
        <v>100</v>
      </c>
      <c r="E380" s="17" t="s">
        <v>480</v>
      </c>
      <c r="F380" s="17" t="s">
        <v>481</v>
      </c>
      <c r="G380" s="18" t="s">
        <v>482</v>
      </c>
      <c r="H380" s="17" t="s">
        <v>23</v>
      </c>
      <c r="I380" s="23" t="s">
        <v>483</v>
      </c>
      <c r="J380" s="23" t="s">
        <v>483</v>
      </c>
    </row>
    <row r="381" spans="1:10" ht="16" x14ac:dyDescent="0.2">
      <c r="A381" s="16">
        <v>188</v>
      </c>
      <c r="B381" s="34">
        <v>43600</v>
      </c>
      <c r="C381" s="105">
        <v>25</v>
      </c>
      <c r="D381" s="17" t="str">
        <f>IF(C381=1,"Roßstr. 9",IF(C381=2,"Pfalzstr. 17",IF(C381=3,"Schlossstr. 19",IF(C381=4,"Neanderstr. 15",IF(C381=5,"Luisenstr. 3",IF(C381=6,"Lindenstr. 267",IF(C381=7,"Engerstr. 3",IF(C381=8,"Schützenstr. 20",IF(C381=9,"Stockkampstr. 47",IF(C381=10,"Driburgerstr. 8",IF(C381=11,"Kölnerstr. 261",IF(C381=12,"Merowingerstr. 17",IF(C381=13,"Borsigstr. 7",IF(C381=14,"Gerresheimer Landstr. 152",IF(C381=15,"Hoppengarten 15",IF(C381=16,"Hoppengarten 17",IF(C381=17,"Könerstr. 215",IF(C381=18,"Kölnerstr. 217",IF(C381=19,"Alte Bachstr. 25",IF(C381=20,"Kranzstr. 103",IF(C381=21,"Broicherdorfstr. 3",IF(C381=22,"Grafenberger Allee 235",IF(C381=23,"Börnestr. 2",IF(C381=24,"Angerbenden 31",IF(C381=25,"Koppelskamp 10",IF(C381=26,"Koppelskamp 12",IF(C381=27,"Koppelskamp 14",IF(C381=28,"Koppelskamp 8",IF(C381=29,"Bismarckstr. 109",IF(C381=30,"Memelstr. 43",IF(C381=31,"Angermunderstr. 30",IF(C381=32,"Koppelskamp 5",IF(C381=33,"Koppelskamp 5a",IF(C381=34,"Koppelskamp 7",IF(C381=35,"Lintorfer Waldstr. 6",IF(C381=36,"Lintorfer Waldstr. 8",IF(C381=37,"Lintorfer Waldstr. 10",IF(C381=38,"Koloniestr. 205",IF(C381=39,"Metzerstr. 28",IF(C381=40,"Metzerstr. 28a",IF(C381=41,"Spichernstr. 27",IF(C381=42,"Metzerstr. 17",IF(C381=43,"Neumühlerstr. 35",IF(C381=44,"Neumühlerstr. 37",IF(C381=45,"Neumühlerstr. 39",IF(C381=46,"Neumühlerstr. 41",IF(C381=47,"Mündelheimerstr. 3-5",IF(C381=48,"Mendelsohnstr. 3"))))))))))))))))))))))))))))))))))))))))))))))))</f>
        <v>Koppelskamp 10</v>
      </c>
      <c r="E381" s="17" t="s">
        <v>637</v>
      </c>
      <c r="F381" s="17" t="s">
        <v>433</v>
      </c>
      <c r="G381" s="18" t="s">
        <v>1147</v>
      </c>
      <c r="H381" s="17" t="s">
        <v>1148</v>
      </c>
      <c r="I381" s="17" t="s">
        <v>329</v>
      </c>
      <c r="J381" s="17" t="s">
        <v>329</v>
      </c>
    </row>
    <row r="382" spans="1:10" ht="16" x14ac:dyDescent="0.2">
      <c r="A382" s="16">
        <v>189</v>
      </c>
      <c r="B382" s="34">
        <v>43325</v>
      </c>
      <c r="C382" s="105">
        <v>5</v>
      </c>
      <c r="D382" s="17" t="s">
        <v>164</v>
      </c>
      <c r="E382" s="17" t="s">
        <v>94</v>
      </c>
      <c r="F382" s="17" t="s">
        <v>484</v>
      </c>
      <c r="G382" s="18" t="s">
        <v>485</v>
      </c>
      <c r="H382" s="17" t="s">
        <v>58</v>
      </c>
      <c r="I382" s="17" t="s">
        <v>14</v>
      </c>
      <c r="J382" s="17" t="s">
        <v>14</v>
      </c>
    </row>
    <row r="383" spans="1:10" ht="16" x14ac:dyDescent="0.2">
      <c r="A383" s="16">
        <v>189</v>
      </c>
      <c r="B383" s="34">
        <v>43665</v>
      </c>
      <c r="C383" s="105">
        <v>25</v>
      </c>
      <c r="D383" s="17" t="str">
        <f>IF(C383=1,"Roßstr. 9",IF(C383=2,"Pfalzstr. 17",IF(C383=3,"Schlossstr. 19",IF(C383=4,"Neanderstr. 15",IF(C383=5,"Luisenstr. 3",IF(C383=6,"Lindenstr. 267",IF(C383=7,"Engerstr. 3",IF(C383=8,"Schützenstr. 20",IF(C383=9,"Stockkampstr. 47",IF(C383=10,"Driburgerstr. 8",IF(C383=11,"Kölnerstr. 261",IF(C383=12,"Merowingerstr. 17",IF(C383=13,"Borsigstr. 7",IF(C383=14,"Gerresheimer Landstr. 152",IF(C383=15,"Hoppengarten 15",IF(C383=16,"Hoppengarten 17",IF(C383=17,"Könerstr. 215",IF(C383=18,"Kölnerstr. 217",IF(C383=19,"Alte Bachstr. 25",IF(C383=20,"Kranzstr. 103",IF(C383=21,"Broicherdorfstr. 3",IF(C383=22,"Grafenberger Allee 235",IF(C383=23,"Börnestr. 2",IF(C383=24,"Angerbenden 31",IF(C383=25,"Koppelskamp 10",IF(C383=26,"Koppelskamp 12",IF(C383=27,"Koppelskamp 14",IF(C383=28,"Koppelskamp 8",IF(C383=29,"Bismarckstr. 109",IF(C383=30,"Memelstr. 43",IF(C383=31,"Angermunderstr. 30",IF(C383=32,"Koppelskamp 5",IF(C383=33,"Koppelskamp 5a",IF(C383=34,"Koppelskamp 7",IF(C383=35,"Lintorfer Waldstr. 6",IF(C383=36,"Lintorfer Waldstr. 8",IF(C383=37,"Lintorfer Waldstr. 10",IF(C383=38,"Koloniestr. 205",IF(C383=39,"Metzerstr. 28",IF(C383=40,"Metzerstr. 28a",IF(C383=41,"Spichernstr. 27",IF(C383=42,"Metzerstr. 17",IF(C383=43,"Neumühlerstr. 35",IF(C383=44,"Neumühlerstr. 37",IF(C383=45,"Neumühlerstr. 39",IF(C383=46,"Neumühlerstr. 41",IF(C383=47,"Mündelheimerstr. 3-5",IF(C383=48,"Mendelsohnstr. 3"))))))))))))))))))))))))))))))))))))))))))))))))</f>
        <v>Koppelskamp 10</v>
      </c>
      <c r="E383" s="17" t="s">
        <v>351</v>
      </c>
      <c r="F383" s="17"/>
      <c r="G383" s="18" t="s">
        <v>1149</v>
      </c>
      <c r="H383" s="17" t="s">
        <v>13</v>
      </c>
      <c r="I383" s="17" t="s">
        <v>14</v>
      </c>
      <c r="J383" s="21" t="s">
        <v>14</v>
      </c>
    </row>
    <row r="384" spans="1:10" ht="16" x14ac:dyDescent="0.2">
      <c r="A384" s="16">
        <v>190</v>
      </c>
      <c r="B384" s="34">
        <v>43329</v>
      </c>
      <c r="C384" s="105">
        <v>34</v>
      </c>
      <c r="D384" s="17" t="s">
        <v>355</v>
      </c>
      <c r="E384" s="17" t="s">
        <v>86</v>
      </c>
      <c r="F384" s="17" t="s">
        <v>356</v>
      </c>
      <c r="G384" s="18" t="s">
        <v>486</v>
      </c>
      <c r="H384" s="17" t="s">
        <v>13</v>
      </c>
      <c r="I384" s="17" t="s">
        <v>14</v>
      </c>
      <c r="J384" s="17" t="s">
        <v>14</v>
      </c>
    </row>
    <row r="385" spans="1:10" ht="16" x14ac:dyDescent="0.2">
      <c r="A385" s="16">
        <v>190</v>
      </c>
      <c r="B385" s="34">
        <v>43668</v>
      </c>
      <c r="C385" s="105">
        <v>11</v>
      </c>
      <c r="D385" s="17" t="str">
        <f>IF(C385=1,"Roßstr. 9",IF(C385=2,"Pfalzstr. 17",IF(C385=3,"Schlossstr. 19",IF(C385=4,"Neanderstr. 15",IF(C385=5,"Luisenstr. 3",IF(C385=6,"Lindenstr. 267",IF(C385=7,"Engerstr. 3",IF(C385=8,"Schützenstr. 20",IF(C385=9,"Stockkampstr. 47",IF(C385=10,"Driburgerstr. 8",IF(C385=11,"Kölnerstr. 261",IF(C385=12,"Merowingerstr. 17",IF(C385=13,"Borsigstr. 7",IF(C385=14,"Gerresheimer Landstr. 152",IF(C385=15,"Hoppengarten 15",IF(C385=16,"Hoppengarten 17",IF(C385=17,"Könerstr. 215",IF(C385=18,"Kölnerstr. 217",IF(C385=19,"Alte Bachstr. 25",IF(C385=20,"Kranzstr. 103",IF(C385=21,"Broicherdorfstr. 3",IF(C385=22,"Grafenberger Allee 235",IF(C385=23,"Börnestr. 2",IF(C385=24,"Angerbenden 31",IF(C385=25,"Koppelskamp 10",IF(C385=26,"Koppelskamp 12",IF(C385=27,"Koppelskamp 14",IF(C385=28,"Koppelskamp 8",IF(C385=29,"Bismarckstr. 109",IF(C385=30,"Memelstr. 43",IF(C385=31,"Angermunderstr. 30",IF(C385=32,"Koppelskamp 5",IF(C385=33,"Koppelskamp 5a",IF(C385=34,"Koppelskamp 7",IF(C385=35,"Lintorfer Waldstr. 6",IF(C385=36,"Lintorfer Waldstr. 8",IF(C385=37,"Lintorfer Waldstr. 10",IF(C385=38,"Koloniestr. 205",IF(C385=39,"Metzerstr. 28",IF(C385=40,"Metzerstr. 28a",IF(C385=41,"Spichernstr. 27",IF(C385=42,"Metzerstr. 17",IF(C385=43,"Neumühlerstr. 35",IF(C385=44,"Neumühlerstr. 37",IF(C385=45,"Neumühlerstr. 39",IF(C385=46,"Neumühlerstr. 41",IF(C385=47,"Mündelheimerstr. 3-5",IF(C385=48,"Mendelsohnstr. 3"))))))))))))))))))))))))))))))))))))))))))))))))</f>
        <v>Kölnerstr. 261</v>
      </c>
      <c r="E385" s="17" t="s">
        <v>693</v>
      </c>
      <c r="F385" s="17" t="s">
        <v>349</v>
      </c>
      <c r="G385" s="18" t="s">
        <v>1150</v>
      </c>
      <c r="H385" s="17" t="s">
        <v>119</v>
      </c>
      <c r="I385" s="21" t="s">
        <v>312</v>
      </c>
      <c r="J385" s="21" t="s">
        <v>312</v>
      </c>
    </row>
    <row r="386" spans="1:10" ht="16" x14ac:dyDescent="0.2">
      <c r="A386" s="16">
        <v>191</v>
      </c>
      <c r="B386" s="34">
        <v>43332</v>
      </c>
      <c r="C386" s="105">
        <v>37</v>
      </c>
      <c r="D386" s="17" t="s">
        <v>182</v>
      </c>
      <c r="E386" s="17" t="s">
        <v>358</v>
      </c>
      <c r="F386" s="17" t="s">
        <v>302</v>
      </c>
      <c r="G386" s="18" t="s">
        <v>487</v>
      </c>
      <c r="H386" s="17" t="s">
        <v>13</v>
      </c>
      <c r="I386" s="17" t="s">
        <v>19</v>
      </c>
      <c r="J386" s="17" t="s">
        <v>19</v>
      </c>
    </row>
    <row r="387" spans="1:10" ht="16" x14ac:dyDescent="0.2">
      <c r="A387" s="16">
        <v>191</v>
      </c>
      <c r="B387" s="34">
        <v>43668</v>
      </c>
      <c r="C387" s="105">
        <v>11</v>
      </c>
      <c r="D387" s="17" t="str">
        <f>IF(C387=1,"Roßstr. 9",IF(C387=2,"Pfalzstr. 17",IF(C387=3,"Schlossstr. 19",IF(C387=4,"Neanderstr. 15",IF(C387=5,"Luisenstr. 3",IF(C387=6,"Lindenstr. 267",IF(C387=7,"Engerstr. 3",IF(C387=8,"Schützenstr. 20",IF(C387=9,"Stockkampstr. 47",IF(C387=10,"Driburgerstr. 8",IF(C387=11,"Kölnerstr. 261",IF(C387=12,"Merowingerstr. 17",IF(C387=13,"Borsigstr. 7",IF(C387=14,"Gerresheimer Landstr. 152",IF(C387=15,"Hoppengarten 15",IF(C387=16,"Hoppengarten 17",IF(C387=17,"Könerstr. 215",IF(C387=18,"Kölnerstr. 217",IF(C387=19,"Alte Bachstr. 25",IF(C387=20,"Kranzstr. 103",IF(C387=21,"Broicherdorfstr. 3",IF(C387=22,"Grafenberger Allee 235",IF(C387=23,"Börnestr. 2",IF(C387=24,"Angerbenden 31",IF(C387=25,"Koppelskamp 10",IF(C387=26,"Koppelskamp 12",IF(C387=27,"Koppelskamp 14",IF(C387=28,"Koppelskamp 8",IF(C387=29,"Bismarckstr. 109",IF(C387=30,"Memelstr. 43",IF(C387=31,"Angermunderstr. 30",IF(C387=32,"Koppelskamp 5",IF(C387=33,"Koppelskamp 5a",IF(C387=34,"Koppelskamp 7",IF(C387=35,"Lintorfer Waldstr. 6",IF(C387=36,"Lintorfer Waldstr. 8",IF(C387=37,"Lintorfer Waldstr. 10",IF(C387=38,"Koloniestr. 205",IF(C387=39,"Metzerstr. 28",IF(C387=40,"Metzerstr. 28a",IF(C387=41,"Spichernstr. 27",IF(C387=42,"Metzerstr. 17",IF(C387=43,"Neumühlerstr. 35",IF(C387=44,"Neumühlerstr. 37",IF(C387=45,"Neumühlerstr. 39",IF(C387=46,"Neumühlerstr. 41",IF(C387=47,"Mündelheimerstr. 3-5",IF(C387=48,"Mendelsohnstr. 3"))))))))))))))))))))))))))))))))))))))))))))))))</f>
        <v>Kölnerstr. 261</v>
      </c>
      <c r="E387" s="17" t="s">
        <v>202</v>
      </c>
      <c r="F387" s="17" t="s">
        <v>302</v>
      </c>
      <c r="G387" s="18" t="s">
        <v>1151</v>
      </c>
      <c r="H387" s="17" t="s">
        <v>13</v>
      </c>
      <c r="I387" s="17" t="s">
        <v>200</v>
      </c>
      <c r="J387" s="21" t="s">
        <v>200</v>
      </c>
    </row>
    <row r="388" spans="1:10" ht="16" x14ac:dyDescent="0.2">
      <c r="A388" s="16">
        <v>192</v>
      </c>
      <c r="B388" s="34">
        <v>43668</v>
      </c>
      <c r="C388" s="105">
        <v>12</v>
      </c>
      <c r="D388" s="17" t="str">
        <f>IF(C388=1,"Roßstr. 9",IF(C388=2,"Pfalzstr. 17",IF(C388=3,"Schlossstr. 19",IF(C388=4,"Neanderstr. 15",IF(C388=5,"Luisenstr. 3",IF(C388=6,"Lindenstr. 267",IF(C388=7,"Engerstr. 3",IF(C388=8,"Schützenstr. 20",IF(C388=9,"Stockkampstr. 47",IF(C388=10,"Driburgerstr. 8",IF(C388=11,"Kölnerstr. 261",IF(C388=12,"Merowingerstr. 17",IF(C388=13,"Borsigstr. 7",IF(C388=14,"Gerresheimer Landstr. 152",IF(C388=15,"Hoppengarten 15",IF(C388=16,"Hoppengarten 17",IF(C388=17,"Könerstr. 215",IF(C388=18,"Kölnerstr. 217",IF(C388=19,"Alte Bachstr. 25",IF(C388=20,"Kranzstr. 103",IF(C388=21,"Broicherdorfstr. 3",IF(C388=22,"Grafenberger Allee 235",IF(C388=23,"Börnestr. 2",IF(C388=24,"Angerbenden 31",IF(C388=25,"Koppelskamp 10",IF(C388=26,"Koppelskamp 12",IF(C388=27,"Koppelskamp 14",IF(C388=28,"Koppelskamp 8",IF(C388=29,"Bismarckstr. 109",IF(C388=30,"Memelstr. 43",IF(C388=31,"Angermunderstr. 30",IF(C388=32,"Koppelskamp 5",IF(C388=33,"Koppelskamp 5a",IF(C388=34,"Koppelskamp 7",IF(C388=35,"Lintorfer Waldstr. 6",IF(C388=36,"Lintorfer Waldstr. 8",IF(C388=37,"Lintorfer Waldstr. 10",IF(C388=38,"Koloniestr. 205",IF(C388=39,"Metzerstr. 28",IF(C388=40,"Metzerstr. 28a",IF(C388=41,"Spichernstr. 27",IF(C388=42,"Metzerstr. 17",IF(C388=43,"Neumühlerstr. 35",IF(C388=44,"Neumühlerstr. 37",IF(C388=45,"Neumühlerstr. 39",IF(C388=46,"Neumühlerstr. 41",IF(C388=47,"Mündelheimerstr. 3-5",IF(C388=48,"Mendelsohnstr. 3"))))))))))))))))))))))))))))))))))))))))))))))))</f>
        <v>Merowingerstr. 17</v>
      </c>
      <c r="E388" s="17" t="s">
        <v>528</v>
      </c>
      <c r="F388" s="17" t="s">
        <v>17</v>
      </c>
      <c r="G388" s="18" t="s">
        <v>1152</v>
      </c>
      <c r="H388" s="17" t="s">
        <v>23</v>
      </c>
      <c r="I388" s="17" t="s">
        <v>306</v>
      </c>
      <c r="J388" s="17" t="s">
        <v>14</v>
      </c>
    </row>
    <row r="389" spans="1:10" ht="16" x14ac:dyDescent="0.2">
      <c r="A389" s="16">
        <v>192</v>
      </c>
      <c r="B389" s="34">
        <v>43333</v>
      </c>
      <c r="C389" s="105">
        <v>9</v>
      </c>
      <c r="D389" s="17" t="s">
        <v>244</v>
      </c>
      <c r="E389" s="17" t="s">
        <v>138</v>
      </c>
      <c r="F389" s="17" t="s">
        <v>488</v>
      </c>
      <c r="G389" s="18" t="s">
        <v>294</v>
      </c>
      <c r="H389" s="17" t="s">
        <v>13</v>
      </c>
      <c r="I389" s="17" t="s">
        <v>181</v>
      </c>
      <c r="J389" s="17" t="s">
        <v>181</v>
      </c>
    </row>
    <row r="390" spans="1:10" ht="16" x14ac:dyDescent="0.2">
      <c r="A390" s="16">
        <v>193</v>
      </c>
      <c r="B390" s="34">
        <v>43668</v>
      </c>
      <c r="C390" s="105">
        <v>40</v>
      </c>
      <c r="D390" s="17" t="str">
        <f>IF(C390=1,"Roßstr. 9",IF(C390=2,"Pfalzstr. 17",IF(C390=3,"Schlossstr. 19",IF(C390=4,"Neanderstr. 15",IF(C390=5,"Luisenstr. 3",IF(C390=6,"Lindenstr. 267",IF(C390=7,"Engerstr. 3",IF(C390=8,"Schützenstr. 20",IF(C390=9,"Stockkampstr. 47",IF(C390=10,"Driburgerstr. 8",IF(C390=11,"Kölnerstr. 261",IF(C390=12,"Merowingerstr. 17",IF(C390=13,"Borsigstr. 7",IF(C390=14,"Gerresheimer Landstr. 152",IF(C390=15,"Hoppengarten 15",IF(C390=16,"Hoppengarten 17",IF(C390=17,"Könerstr. 215",IF(C390=18,"Kölnerstr. 217",IF(C390=19,"Alte Bachstr. 25",IF(C390=20,"Kranzstr. 103",IF(C390=21,"Broicherdorfstr. 3",IF(C390=22,"Grafenberger Allee 235",IF(C390=23,"Börnestr. 2",IF(C390=24,"Angerbenden 31",IF(C390=25,"Koppelskamp 10",IF(C390=26,"Koppelskamp 12",IF(C390=27,"Koppelskamp 14",IF(C390=28,"Koppelskamp 8",IF(C390=29,"Bismarckstr. 109",IF(C390=30,"Memelstr. 43",IF(C390=31,"Angermunderstr. 30",IF(C390=32,"Koppelskamp 5",IF(C390=33,"Koppelskamp 5a",IF(C390=34,"Koppelskamp 7",IF(C390=35,"Lintorfer Waldstr. 6",IF(C390=36,"Lintorfer Waldstr. 8",IF(C390=37,"Lintorfer Waldstr. 10",IF(C390=38,"Koloniestr. 205",IF(C390=39,"Metzerstr. 28",IF(C390=40,"Metzerstr. 28a",IF(C390=41,"Spichernstr. 27",IF(C390=42,"Metzerstr. 17",IF(C390=43,"Neumühlerstr. 35",IF(C390=44,"Neumühlerstr. 37",IF(C390=45,"Neumühlerstr. 39",IF(C390=46,"Neumühlerstr. 41",IF(C390=47,"Mündelheimerstr. 3-5",IF(C390=48,"Mendelsohnstr. 3"))))))))))))))))))))))))))))))))))))))))))))))))</f>
        <v>Metzerstr. 28a</v>
      </c>
      <c r="E390" s="17" t="s">
        <v>1153</v>
      </c>
      <c r="F390" s="17" t="s">
        <v>1154</v>
      </c>
      <c r="G390" s="18" t="s">
        <v>1155</v>
      </c>
      <c r="H390" s="17" t="s">
        <v>23</v>
      </c>
      <c r="I390" s="17" t="s">
        <v>30</v>
      </c>
      <c r="J390" s="17" t="s">
        <v>30</v>
      </c>
    </row>
    <row r="391" spans="1:10" ht="16" x14ac:dyDescent="0.2">
      <c r="A391" s="16">
        <v>193</v>
      </c>
      <c r="B391" s="34">
        <v>43333</v>
      </c>
      <c r="C391" s="105">
        <v>18</v>
      </c>
      <c r="D391" s="17" t="s">
        <v>343</v>
      </c>
      <c r="E391" s="17" t="s">
        <v>129</v>
      </c>
      <c r="F391" s="17" t="s">
        <v>489</v>
      </c>
      <c r="G391" s="18" t="s">
        <v>490</v>
      </c>
      <c r="H391" s="17" t="s">
        <v>13</v>
      </c>
      <c r="I391" s="17" t="s">
        <v>119</v>
      </c>
      <c r="J391" s="17" t="s">
        <v>119</v>
      </c>
    </row>
    <row r="392" spans="1:10" ht="16" x14ac:dyDescent="0.2">
      <c r="A392" s="16">
        <v>194</v>
      </c>
      <c r="B392" s="34">
        <v>43333</v>
      </c>
      <c r="C392" s="105">
        <v>4</v>
      </c>
      <c r="D392" s="17" t="s">
        <v>168</v>
      </c>
      <c r="E392" s="17" t="s">
        <v>64</v>
      </c>
      <c r="F392" s="17" t="s">
        <v>491</v>
      </c>
      <c r="G392" s="18" t="s">
        <v>492</v>
      </c>
      <c r="H392" s="17" t="s">
        <v>58</v>
      </c>
      <c r="I392" s="17" t="s">
        <v>14</v>
      </c>
      <c r="J392" s="17" t="s">
        <v>14</v>
      </c>
    </row>
    <row r="393" spans="1:10" ht="32" x14ac:dyDescent="0.2">
      <c r="A393" s="16">
        <v>194</v>
      </c>
      <c r="B393" s="34">
        <v>43671</v>
      </c>
      <c r="C393" s="105">
        <v>19</v>
      </c>
      <c r="D393" s="17" t="str">
        <f>IF(C393=1,"Roßstr. 9",IF(C393=2,"Pfalzstr. 17",IF(C393=3,"Schlossstr. 19",IF(C393=4,"Neanderstr. 15",IF(C393=5,"Luisenstr. 3",IF(C393=6,"Lindenstr. 267",IF(C393=7,"Engerstr. 3",IF(C393=8,"Schützenstr. 20",IF(C393=9,"Stockkampstr. 47",IF(C393=10,"Driburgerstr. 8",IF(C393=11,"Kölnerstr. 261",IF(C393=12,"Merowingerstr. 17",IF(C393=13,"Borsigstr. 7",IF(C393=14,"Gerresheimer Landstr. 152",IF(C393=15,"Hoppengarten 15",IF(C393=16,"Hoppengarten 17",IF(C393=17,"Könerstr. 215",IF(C393=18,"Kölnerstr. 217",IF(C393=19,"Alte Bachstr. 25",IF(C393=20,"Kranzstr. 103",IF(C393=21,"Broicherdorfstr. 3",IF(C393=22,"Grafenberger Allee 235",IF(C393=23,"Börnestr. 2",IF(C393=24,"Angerbenden 31",IF(C393=25,"Koppelskamp 10",IF(C393=26,"Koppelskamp 12",IF(C393=27,"Koppelskamp 14",IF(C393=28,"Koppelskamp 8",IF(C393=29,"Bismarckstr. 109",IF(C393=30,"Memelstr. 43",IF(C393=31,"Angermunderstr. 30",IF(C393=32,"Koppelskamp 5",IF(C393=33,"Koppelskamp 5a",IF(C393=34,"Koppelskamp 7",IF(C393=35,"Lintorfer Waldstr. 6",IF(C393=36,"Lintorfer Waldstr. 8",IF(C393=37,"Lintorfer Waldstr. 10",IF(C393=38,"Koloniestr. 205",IF(C393=39,"Metzerstr. 28",IF(C393=40,"Metzerstr. 28a",IF(C393=41,"Spichernstr. 27",IF(C393=42,"Metzerstr. 17",IF(C393=43,"Neumühlerstr. 35",IF(C393=44,"Neumühlerstr. 37",IF(C393=45,"Neumühlerstr. 39",IF(C393=46,"Neumühlerstr. 41",IF(C393=47,"Mündelheimerstr. 3-5",IF(C393=48,"Mendelsohnstr. 3"))))))))))))))))))))))))))))))))))))))))))))))))</f>
        <v>Alte Bachstr. 25</v>
      </c>
      <c r="E393" s="17" t="s">
        <v>1156</v>
      </c>
      <c r="F393" s="17" t="s">
        <v>1157</v>
      </c>
      <c r="G393" s="18" t="s">
        <v>1158</v>
      </c>
      <c r="H393" s="17" t="s">
        <v>23</v>
      </c>
      <c r="I393" s="17" t="s">
        <v>119</v>
      </c>
      <c r="J393" s="17" t="s">
        <v>119</v>
      </c>
    </row>
    <row r="394" spans="1:10" ht="16" x14ac:dyDescent="0.2">
      <c r="A394" s="16">
        <v>195</v>
      </c>
      <c r="B394" s="34">
        <v>43333</v>
      </c>
      <c r="C394" s="105">
        <v>10</v>
      </c>
      <c r="D394" s="17" t="s">
        <v>9</v>
      </c>
      <c r="E394" s="17" t="s">
        <v>60</v>
      </c>
      <c r="F394" s="17" t="s">
        <v>396</v>
      </c>
      <c r="G394" s="18" t="s">
        <v>493</v>
      </c>
      <c r="H394" s="17" t="s">
        <v>58</v>
      </c>
      <c r="I394" s="17" t="s">
        <v>14</v>
      </c>
      <c r="J394" s="21" t="s">
        <v>14</v>
      </c>
    </row>
    <row r="395" spans="1:10" ht="16" x14ac:dyDescent="0.2">
      <c r="A395" s="16">
        <v>195</v>
      </c>
      <c r="B395" s="34">
        <v>43671</v>
      </c>
      <c r="C395" s="105">
        <v>28</v>
      </c>
      <c r="D395" s="17" t="str">
        <f>IF(C395=1,"Roßstr. 9",IF(C395=2,"Pfalzstr. 17",IF(C395=3,"Schlossstr. 19",IF(C395=4,"Neanderstr. 15",IF(C395=5,"Luisenstr. 3",IF(C395=6,"Lindenstr. 267",IF(C395=7,"Engerstr. 3",IF(C395=8,"Schützenstr. 20",IF(C395=9,"Stockkampstr. 47",IF(C395=10,"Driburgerstr. 8",IF(C395=11,"Kölnerstr. 261",IF(C395=12,"Merowingerstr. 17",IF(C395=13,"Borsigstr. 7",IF(C395=14,"Gerresheimer Landstr. 152",IF(C395=15,"Hoppengarten 15",IF(C395=16,"Hoppengarten 17",IF(C395=17,"Könerstr. 215",IF(C395=18,"Kölnerstr. 217",IF(C395=19,"Alte Bachstr. 25",IF(C395=20,"Kranzstr. 103",IF(C395=21,"Broicherdorfstr. 3",IF(C395=22,"Grafenberger Allee 235",IF(C395=23,"Börnestr. 2",IF(C395=24,"Angerbenden 31",IF(C395=25,"Koppelskamp 10",IF(C395=26,"Koppelskamp 12",IF(C395=27,"Koppelskamp 14",IF(C395=28,"Koppelskamp 8",IF(C395=29,"Bismarckstr. 109",IF(C395=30,"Memelstr. 43",IF(C395=31,"Angermunderstr. 30",IF(C395=32,"Koppelskamp 5",IF(C395=33,"Koppelskamp 5a",IF(C395=34,"Koppelskamp 7",IF(C395=35,"Lintorfer Waldstr. 6",IF(C395=36,"Lintorfer Waldstr. 8",IF(C395=37,"Lintorfer Waldstr. 10",IF(C395=38,"Koloniestr. 205",IF(C395=39,"Metzerstr. 28",IF(C395=40,"Metzerstr. 28a",IF(C395=41,"Spichernstr. 27",IF(C395=42,"Metzerstr. 17",IF(C395=43,"Neumühlerstr. 35",IF(C395=44,"Neumühlerstr. 37",IF(C395=45,"Neumühlerstr. 39",IF(C395=46,"Neumühlerstr. 41",IF(C395=47,"Mündelheimerstr. 3-5",IF(C395=48,"Mendelsohnstr. 3"))))))))))))))))))))))))))))))))))))))))))))))))</f>
        <v>Koppelskamp 8</v>
      </c>
      <c r="E395" s="17" t="s">
        <v>36</v>
      </c>
      <c r="F395" s="17"/>
      <c r="G395" s="18" t="s">
        <v>1159</v>
      </c>
      <c r="H395" s="17" t="s">
        <v>13</v>
      </c>
      <c r="I395" s="17" t="s">
        <v>411</v>
      </c>
      <c r="J395" s="21" t="s">
        <v>411</v>
      </c>
    </row>
    <row r="396" spans="1:10" ht="16" x14ac:dyDescent="0.2">
      <c r="A396" s="16">
        <v>196</v>
      </c>
      <c r="B396" s="34">
        <v>43333</v>
      </c>
      <c r="C396" s="105">
        <v>25</v>
      </c>
      <c r="D396" s="17" t="s">
        <v>128</v>
      </c>
      <c r="E396" s="17" t="s">
        <v>78</v>
      </c>
      <c r="F396" s="17"/>
      <c r="G396" s="18" t="s">
        <v>494</v>
      </c>
      <c r="H396" s="17" t="s">
        <v>58</v>
      </c>
      <c r="I396" s="17" t="s">
        <v>14</v>
      </c>
      <c r="J396" s="17" t="s">
        <v>14</v>
      </c>
    </row>
    <row r="397" spans="1:10" ht="16" x14ac:dyDescent="0.2">
      <c r="A397" s="16">
        <v>196</v>
      </c>
      <c r="B397" s="34">
        <v>43671</v>
      </c>
      <c r="C397" s="105">
        <v>17</v>
      </c>
      <c r="D397" s="17" t="str">
        <f>IF(C397=1,"Roßstr. 9",IF(C397=2,"Pfalzstr. 17",IF(C397=3,"Schlossstr. 19",IF(C397=4,"Neanderstr. 15",IF(C397=5,"Luisenstr. 3",IF(C397=6,"Lindenstr. 267",IF(C397=7,"Engerstr. 3",IF(C397=8,"Schützenstr. 20",IF(C397=9,"Stockkampstr. 47",IF(C397=10,"Driburgerstr. 8",IF(C397=11,"Kölnerstr. 261",IF(C397=12,"Merowingerstr. 17",IF(C397=13,"Borsigstr. 7",IF(C397=14,"Gerresheimer Landstr. 152",IF(C397=15,"Hoppengarten 15",IF(C397=16,"Hoppengarten 17",IF(C397=17,"Könerstr. 215",IF(C397=18,"Kölnerstr. 217",IF(C397=19,"Alte Bachstr. 25",IF(C397=20,"Kranzstr. 103",IF(C397=21,"Broicherdorfstr. 3",IF(C397=22,"Grafenberger Allee 235",IF(C397=23,"Börnestr. 2",IF(C397=24,"Angerbenden 31",IF(C397=25,"Koppelskamp 10",IF(C397=26,"Koppelskamp 12",IF(C397=27,"Koppelskamp 14",IF(C397=28,"Koppelskamp 8",IF(C397=29,"Bismarckstr. 109",IF(C397=30,"Memelstr. 43",IF(C397=31,"Angermunderstr. 30",IF(C397=32,"Koppelskamp 5",IF(C397=33,"Koppelskamp 5a",IF(C397=34,"Koppelskamp 7",IF(C397=35,"Lintorfer Waldstr. 6",IF(C397=36,"Lintorfer Waldstr. 8",IF(C397=37,"Lintorfer Waldstr. 10",IF(C397=38,"Koloniestr. 205",IF(C397=39,"Metzerstr. 28",IF(C397=40,"Metzerstr. 28a",IF(C397=41,"Spichernstr. 27",IF(C397=42,"Metzerstr. 17",IF(C397=43,"Neumühlerstr. 35",IF(C397=44,"Neumühlerstr. 37",IF(C397=45,"Neumühlerstr. 39",IF(C397=46,"Neumühlerstr. 41",IF(C397=47,"Mündelheimerstr. 3-5",IF(C397=48,"Mendelsohnstr. 3"))))))))))))))))))))))))))))))))))))))))))))))))</f>
        <v>Könerstr. 215</v>
      </c>
      <c r="E397" s="17" t="s">
        <v>263</v>
      </c>
      <c r="F397" s="17" t="s">
        <v>1160</v>
      </c>
      <c r="G397" s="18" t="s">
        <v>1161</v>
      </c>
      <c r="H397" s="17" t="s">
        <v>13</v>
      </c>
      <c r="I397" s="17" t="s">
        <v>411</v>
      </c>
      <c r="J397" s="17" t="s">
        <v>411</v>
      </c>
    </row>
    <row r="398" spans="1:10" ht="16" x14ac:dyDescent="0.2">
      <c r="A398" s="16">
        <v>197</v>
      </c>
      <c r="B398" s="34">
        <v>43335</v>
      </c>
      <c r="C398" s="105">
        <v>41</v>
      </c>
      <c r="D398" s="17" t="s">
        <v>26</v>
      </c>
      <c r="E398" s="17" t="s">
        <v>146</v>
      </c>
      <c r="F398" s="17" t="s">
        <v>495</v>
      </c>
      <c r="G398" s="18" t="s">
        <v>496</v>
      </c>
      <c r="H398" s="17" t="s">
        <v>58</v>
      </c>
      <c r="I398" s="21" t="s">
        <v>423</v>
      </c>
      <c r="J398" s="21" t="s">
        <v>423</v>
      </c>
    </row>
    <row r="399" spans="1:10" ht="32" x14ac:dyDescent="0.2">
      <c r="A399" s="16">
        <v>197</v>
      </c>
      <c r="B399" s="34">
        <v>43676</v>
      </c>
      <c r="C399" s="105">
        <v>43</v>
      </c>
      <c r="D399" s="17" t="str">
        <f>IF(C399=1,"Roßstr. 9",IF(C399=2,"Pfalzstr. 17",IF(C399=3,"Schlossstr. 19",IF(C399=4,"Neanderstr. 15",IF(C399=5,"Luisenstr. 3",IF(C399=6,"Lindenstr. 267",IF(C399=7,"Engerstr. 3",IF(C399=8,"Schützenstr. 20",IF(C399=9,"Stockkampstr. 47",IF(C399=10,"Driburgerstr. 8",IF(C399=11,"Kölnerstr. 261",IF(C399=12,"Merowingerstr. 17",IF(C399=13,"Borsigstr. 7",IF(C399=14,"Gerresheimer Landstr. 152",IF(C399=15,"Hoppengarten 15",IF(C399=16,"Hoppengarten 17",IF(C399=17,"Könerstr. 215",IF(C399=18,"Kölnerstr. 217",IF(C399=19,"Alte Bachstr. 25",IF(C399=20,"Kranzstr. 103",IF(C399=21,"Broicherdorfstr. 3",IF(C399=22,"Grafenberger Allee 235",IF(C399=23,"Börnestr. 2",IF(C399=24,"Angerbenden 31",IF(C399=25,"Koppelskamp 10",IF(C399=26,"Koppelskamp 12",IF(C399=27,"Koppelskamp 14",IF(C399=28,"Koppelskamp 8",IF(C399=29,"Bismarckstr. 109",IF(C399=30,"Memelstr. 43",IF(C399=31,"Angermunderstr. 30",IF(C399=32,"Koppelskamp 5",IF(C399=33,"Koppelskamp 5a",IF(C399=34,"Koppelskamp 7",IF(C399=35,"Lintorfer Waldstr. 6",IF(C399=36,"Lintorfer Waldstr. 8",IF(C399=37,"Lintorfer Waldstr. 10",IF(C399=38,"Koloniestr. 205",IF(C399=39,"Metzerstr. 28",IF(C399=40,"Metzerstr. 28a",IF(C399=41,"Spichernstr. 27",IF(C399=42,"Metzerstr. 17",IF(C399=43,"Neumühlerstr. 35",IF(C399=44,"Neumühlerstr. 37",IF(C399=45,"Neumühlerstr. 39",IF(C399=46,"Neumühlerstr. 41",IF(C399=47,"Mündelheimerstr. 3-5",IF(C399=48,"Mendelsohnstr. 3"))))))))))))))))))))))))))))))))))))))))))))))))</f>
        <v>Neumühlerstr. 35</v>
      </c>
      <c r="E399" s="17" t="s">
        <v>138</v>
      </c>
      <c r="F399" s="17" t="s">
        <v>1162</v>
      </c>
      <c r="G399" s="18" t="s">
        <v>1163</v>
      </c>
      <c r="H399" s="17" t="s">
        <v>13</v>
      </c>
      <c r="I399" s="17" t="s">
        <v>119</v>
      </c>
      <c r="J399" s="21" t="s">
        <v>252</v>
      </c>
    </row>
    <row r="400" spans="1:10" ht="16" x14ac:dyDescent="0.2">
      <c r="A400" s="16">
        <v>198</v>
      </c>
      <c r="B400" s="34">
        <v>43336</v>
      </c>
      <c r="C400" s="105">
        <v>31</v>
      </c>
      <c r="D400" s="17" t="s">
        <v>120</v>
      </c>
      <c r="E400" s="17" t="s">
        <v>86</v>
      </c>
      <c r="F400" s="17" t="s">
        <v>497</v>
      </c>
      <c r="G400" s="18" t="s">
        <v>498</v>
      </c>
      <c r="H400" s="17" t="s">
        <v>58</v>
      </c>
      <c r="I400" s="17" t="s">
        <v>14</v>
      </c>
      <c r="J400" s="17" t="s">
        <v>14</v>
      </c>
    </row>
    <row r="401" spans="1:10" ht="16" x14ac:dyDescent="0.2">
      <c r="A401" s="16">
        <v>198</v>
      </c>
      <c r="B401" s="34">
        <v>43677</v>
      </c>
      <c r="C401" s="105">
        <v>3</v>
      </c>
      <c r="D401" s="17" t="str">
        <f>IF(C401=1,"Roßstr. 9",IF(C401=2,"Pfalzstr. 17",IF(C401=3,"Schlossstr. 19",IF(C401=4,"Neanderstr. 15",IF(C401=5,"Luisenstr. 3",IF(C401=6,"Lindenstr. 267",IF(C401=7,"Engerstr. 3",IF(C401=8,"Schützenstr. 20",IF(C401=9,"Stockkampstr. 47",IF(C401=10,"Driburgerstr. 8",IF(C401=11,"Kölnerstr. 261",IF(C401=12,"Merowingerstr. 17",IF(C401=13,"Borsigstr. 7",IF(C401=14,"Gerresheimer Landstr. 152",IF(C401=15,"Hoppengarten 15",IF(C401=16,"Hoppengarten 17",IF(C401=17,"Könerstr. 215",IF(C401=18,"Kölnerstr. 217",IF(C401=19,"Alte Bachstr. 25",IF(C401=20,"Kranzstr. 103",IF(C401=21,"Broicherdorfstr. 3",IF(C401=22,"Grafenberger Allee 235",IF(C401=23,"Börnestr. 2",IF(C401=24,"Angerbenden 31",IF(C401=25,"Koppelskamp 10",IF(C401=26,"Koppelskamp 12",IF(C401=27,"Koppelskamp 14",IF(C401=28,"Koppelskamp 8",IF(C401=29,"Bismarckstr. 109",IF(C401=30,"Memelstr. 43",IF(C401=31,"Angermunderstr. 30",IF(C401=32,"Koppelskamp 5",IF(C401=33,"Koppelskamp 5a",IF(C401=34,"Koppelskamp 7",IF(C401=35,"Lintorfer Waldstr. 6",IF(C401=36,"Lintorfer Waldstr. 8",IF(C401=37,"Lintorfer Waldstr. 10",IF(C401=38,"Koloniestr. 205",IF(C401=39,"Metzerstr. 28",IF(C401=40,"Metzerstr. 28a",IF(C401=41,"Spichernstr. 27",IF(C401=42,"Metzerstr. 17",IF(C401=43,"Neumühlerstr. 35",IF(C401=44,"Neumühlerstr. 37",IF(C401=45,"Neumühlerstr. 39",IF(C401=46,"Neumühlerstr. 41",IF(C401=47,"Mündelheimerstr. 3-5",IF(C401=48,"Mendelsohnstr. 3"))))))))))))))))))))))))))))))))))))))))))))))))</f>
        <v>Schlossstr. 19</v>
      </c>
      <c r="E401" s="17" t="s">
        <v>10</v>
      </c>
      <c r="F401" s="17" t="s">
        <v>1164</v>
      </c>
      <c r="G401" s="18" t="s">
        <v>1165</v>
      </c>
      <c r="H401" s="17" t="s">
        <v>119</v>
      </c>
      <c r="I401" s="17" t="s">
        <v>48</v>
      </c>
      <c r="J401" s="17" t="s">
        <v>48</v>
      </c>
    </row>
    <row r="402" spans="1:10" ht="16" x14ac:dyDescent="0.2">
      <c r="A402" s="16">
        <v>199</v>
      </c>
      <c r="B402" s="34">
        <v>43336</v>
      </c>
      <c r="C402" s="105" t="s">
        <v>80</v>
      </c>
      <c r="D402" s="17" t="s">
        <v>81</v>
      </c>
      <c r="E402" s="17" t="s">
        <v>351</v>
      </c>
      <c r="F402" s="17"/>
      <c r="G402" s="18" t="s">
        <v>499</v>
      </c>
      <c r="H402" s="17" t="s">
        <v>13</v>
      </c>
      <c r="I402" s="17" t="s">
        <v>14</v>
      </c>
      <c r="J402" s="17" t="s">
        <v>14</v>
      </c>
    </row>
    <row r="403" spans="1:10" ht="16" x14ac:dyDescent="0.2">
      <c r="A403" s="16">
        <v>199</v>
      </c>
      <c r="B403" s="34">
        <v>43678</v>
      </c>
      <c r="C403" s="105">
        <v>6</v>
      </c>
      <c r="D403" s="17" t="str">
        <f>IF(C403=1,"Roßstr. 9",IF(C403=2,"Pfalzstr. 17",IF(C403=3,"Schlossstr. 19",IF(C403=4,"Neanderstr. 15",IF(C403=5,"Luisenstr. 3",IF(C403=6,"Lindenstr. 267",IF(C403=7,"Engerstr. 3",IF(C403=8,"Schützenstr. 20",IF(C403=9,"Stockkampstr. 47",IF(C403=10,"Driburgerstr. 8",IF(C403=11,"Kölnerstr. 261",IF(C403=12,"Merowingerstr. 17",IF(C403=13,"Borsigstr. 7",IF(C403=14,"Gerresheimer Landstr. 152",IF(C403=15,"Hoppengarten 15",IF(C403=16,"Hoppengarten 17",IF(C403=17,"Könerstr. 215",IF(C403=18,"Kölnerstr. 217",IF(C403=19,"Alte Bachstr. 25",IF(C403=20,"Kranzstr. 103",IF(C403=21,"Broicherdorfstr. 3",IF(C403=22,"Grafenberger Allee 235",IF(C403=23,"Börnestr. 2",IF(C403=24,"Angerbenden 31",IF(C403=25,"Koppelskamp 10",IF(C403=26,"Koppelskamp 12",IF(C403=27,"Koppelskamp 14",IF(C403=28,"Koppelskamp 8",IF(C403=29,"Bismarckstr. 109",IF(C403=30,"Memelstr. 43",IF(C403=31,"Angermunderstr. 30",IF(C403=32,"Koppelskamp 5",IF(C403=33,"Koppelskamp 5a",IF(C403=34,"Koppelskamp 7",IF(C403=35,"Lintorfer Waldstr. 6",IF(C403=36,"Lintorfer Waldstr. 8",IF(C403=37,"Lintorfer Waldstr. 10",IF(C403=38,"Koloniestr. 205",IF(C403=39,"Metzerstr. 28",IF(C403=40,"Metzerstr. 28a",IF(C403=41,"Spichernstr. 27",IF(C403=42,"Metzerstr. 17",IF(C403=43,"Neumühlerstr. 35",IF(C403=44,"Neumühlerstr. 37",IF(C403=45,"Neumühlerstr. 39",IF(C403=46,"Neumühlerstr. 41",IF(C403=47,"Mündelheimerstr. 3-5",IF(C403=48,"Mendelsohnstr. 3"))))))))))))))))))))))))))))))))))))))))))))))))</f>
        <v>Lindenstr. 267</v>
      </c>
      <c r="E403" s="17" t="s">
        <v>467</v>
      </c>
      <c r="F403" s="17" t="s">
        <v>17</v>
      </c>
      <c r="G403" s="18" t="s">
        <v>1166</v>
      </c>
      <c r="H403" s="17" t="s">
        <v>13</v>
      </c>
      <c r="I403" s="17" t="s">
        <v>14</v>
      </c>
      <c r="J403" s="21" t="s">
        <v>14</v>
      </c>
    </row>
    <row r="404" spans="1:10" ht="16" x14ac:dyDescent="0.2">
      <c r="A404" s="16">
        <v>200</v>
      </c>
      <c r="B404" s="34">
        <v>43678</v>
      </c>
      <c r="C404" s="105">
        <v>6</v>
      </c>
      <c r="D404" s="17" t="str">
        <f>IF(C404=1,"Roßstr. 9",IF(C404=2,"Pfalzstr. 17",IF(C404=3,"Schlossstr. 19",IF(C404=4,"Neanderstr. 15",IF(C404=5,"Luisenstr. 3",IF(C404=6,"Lindenstr. 267",IF(C404=7,"Engerstr. 3",IF(C404=8,"Schützenstr. 20",IF(C404=9,"Stockkampstr. 47",IF(C404=10,"Driburgerstr. 8",IF(C404=11,"Kölnerstr. 261",IF(C404=12,"Merowingerstr. 17",IF(C404=13,"Borsigstr. 7",IF(C404=14,"Gerresheimer Landstr. 152",IF(C404=15,"Hoppengarten 15",IF(C404=16,"Hoppengarten 17",IF(C404=17,"Könerstr. 215",IF(C404=18,"Kölnerstr. 217",IF(C404=19,"Alte Bachstr. 25",IF(C404=20,"Kranzstr. 103",IF(C404=21,"Broicherdorfstr. 3",IF(C404=22,"Grafenberger Allee 235",IF(C404=23,"Börnestr. 2",IF(C404=24,"Angerbenden 31",IF(C404=25,"Koppelskamp 10",IF(C404=26,"Koppelskamp 12",IF(C404=27,"Koppelskamp 14",IF(C404=28,"Koppelskamp 8",IF(C404=29,"Bismarckstr. 109",IF(C404=30,"Memelstr. 43",IF(C404=31,"Angermunderstr. 30",IF(C404=32,"Koppelskamp 5",IF(C404=33,"Koppelskamp 5a",IF(C404=34,"Koppelskamp 7",IF(C404=35,"Lintorfer Waldstr. 6",IF(C404=36,"Lintorfer Waldstr. 8",IF(C404=37,"Lintorfer Waldstr. 10",IF(C404=38,"Koloniestr. 205",IF(C404=39,"Metzerstr. 28",IF(C404=40,"Metzerstr. 28a",IF(C404=41,"Spichernstr. 27",IF(C404=42,"Metzerstr. 17",IF(C404=43,"Neumühlerstr. 35",IF(C404=44,"Neumühlerstr. 37",IF(C404=45,"Neumühlerstr. 39",IF(C404=46,"Neumühlerstr. 41",IF(C404=47,"Mündelheimerstr. 3-5",IF(C404=48,"Mendelsohnstr. 3"))))))))))))))))))))))))))))))))))))))))))))))))</f>
        <v>Lindenstr. 267</v>
      </c>
      <c r="E404" s="17" t="s">
        <v>467</v>
      </c>
      <c r="F404" s="17" t="s">
        <v>17</v>
      </c>
      <c r="G404" s="18" t="s">
        <v>1167</v>
      </c>
      <c r="H404" s="17" t="s">
        <v>13</v>
      </c>
      <c r="I404" s="17" t="s">
        <v>119</v>
      </c>
      <c r="J404" s="17" t="s">
        <v>119</v>
      </c>
    </row>
    <row r="405" spans="1:10" ht="16" x14ac:dyDescent="0.2">
      <c r="A405" s="16">
        <v>200</v>
      </c>
      <c r="B405" s="34">
        <v>43339</v>
      </c>
      <c r="C405" s="105">
        <v>8</v>
      </c>
      <c r="D405" s="17" t="s">
        <v>500</v>
      </c>
      <c r="E405" s="17" t="s">
        <v>466</v>
      </c>
      <c r="F405" s="17"/>
      <c r="G405" s="18" t="s">
        <v>501</v>
      </c>
      <c r="H405" s="17" t="s">
        <v>13</v>
      </c>
      <c r="I405" s="17" t="s">
        <v>200</v>
      </c>
      <c r="J405" s="17" t="s">
        <v>252</v>
      </c>
    </row>
    <row r="406" spans="1:10" ht="16" x14ac:dyDescent="0.2">
      <c r="A406" s="16">
        <v>201</v>
      </c>
      <c r="B406" s="34">
        <v>43678</v>
      </c>
      <c r="C406" s="105">
        <v>28</v>
      </c>
      <c r="D406" s="17" t="str">
        <f>IF(C406=1,"Roßstr. 9",IF(C406=2,"Pfalzstr. 17",IF(C406=3,"Schlossstr. 19",IF(C406=4,"Neanderstr. 15",IF(C406=5,"Luisenstr. 3",IF(C406=6,"Lindenstr. 267",IF(C406=7,"Engerstr. 3",IF(C406=8,"Schützenstr. 20",IF(C406=9,"Stockkampstr. 47",IF(C406=10,"Driburgerstr. 8",IF(C406=11,"Kölnerstr. 261",IF(C406=12,"Merowingerstr. 17",IF(C406=13,"Borsigstr. 7",IF(C406=14,"Gerresheimer Landstr. 152",IF(C406=15,"Hoppengarten 15",IF(C406=16,"Hoppengarten 17",IF(C406=17,"Könerstr. 215",IF(C406=18,"Kölnerstr. 217",IF(C406=19,"Alte Bachstr. 25",IF(C406=20,"Kranzstr. 103",IF(C406=21,"Broicherdorfstr. 3",IF(C406=22,"Grafenberger Allee 235",IF(C406=23,"Börnestr. 2",IF(C406=24,"Angerbenden 31",IF(C406=25,"Koppelskamp 10",IF(C406=26,"Koppelskamp 12",IF(C406=27,"Koppelskamp 14",IF(C406=28,"Koppelskamp 8",IF(C406=29,"Bismarckstr. 109",IF(C406=30,"Memelstr. 43",IF(C406=31,"Angermunderstr. 30",IF(C406=32,"Koppelskamp 5",IF(C406=33,"Koppelskamp 5a",IF(C406=34,"Koppelskamp 7",IF(C406=35,"Lintorfer Waldstr. 6",IF(C406=36,"Lintorfer Waldstr. 8",IF(C406=37,"Lintorfer Waldstr. 10",IF(C406=38,"Koloniestr. 205",IF(C406=39,"Metzerstr. 28",IF(C406=40,"Metzerstr. 28a",IF(C406=41,"Spichernstr. 27",IF(C406=42,"Metzerstr. 17",IF(C406=43,"Neumühlerstr. 35",IF(C406=44,"Neumühlerstr. 37",IF(C406=45,"Neumühlerstr. 39",IF(C406=46,"Neumühlerstr. 41",IF(C406=47,"Mündelheimerstr. 3-5",IF(C406=48,"Mendelsohnstr. 3"))))))))))))))))))))))))))))))))))))))))))))))))</f>
        <v>Koppelskamp 8</v>
      </c>
      <c r="E406" s="17" t="s">
        <v>1011</v>
      </c>
      <c r="F406" s="17" t="s">
        <v>17</v>
      </c>
      <c r="G406" s="63" t="s">
        <v>1168</v>
      </c>
      <c r="H406" s="17" t="s">
        <v>13</v>
      </c>
      <c r="I406" s="17" t="s">
        <v>14</v>
      </c>
      <c r="J406" s="21" t="s">
        <v>14</v>
      </c>
    </row>
    <row r="407" spans="1:10" ht="16" x14ac:dyDescent="0.2">
      <c r="A407" s="16">
        <v>201</v>
      </c>
      <c r="B407" s="34">
        <v>43341</v>
      </c>
      <c r="C407" s="105">
        <v>2</v>
      </c>
      <c r="D407" s="17" t="s">
        <v>502</v>
      </c>
      <c r="E407" s="17" t="s">
        <v>138</v>
      </c>
      <c r="F407" s="17" t="s">
        <v>250</v>
      </c>
      <c r="G407" s="18" t="s">
        <v>503</v>
      </c>
      <c r="H407" s="17" t="s">
        <v>58</v>
      </c>
      <c r="I407" s="17" t="s">
        <v>119</v>
      </c>
      <c r="J407" s="17" t="s">
        <v>119</v>
      </c>
    </row>
    <row r="408" spans="1:10" ht="32" x14ac:dyDescent="0.2">
      <c r="A408" s="16">
        <v>202</v>
      </c>
      <c r="B408" s="34">
        <v>43346</v>
      </c>
      <c r="C408" s="105">
        <v>47</v>
      </c>
      <c r="D408" s="17" t="s">
        <v>228</v>
      </c>
      <c r="E408" s="17" t="s">
        <v>146</v>
      </c>
      <c r="F408" s="17" t="s">
        <v>364</v>
      </c>
      <c r="G408" s="18" t="s">
        <v>504</v>
      </c>
      <c r="H408" s="17" t="s">
        <v>58</v>
      </c>
      <c r="I408" s="23" t="s">
        <v>423</v>
      </c>
      <c r="J408" s="23" t="s">
        <v>423</v>
      </c>
    </row>
    <row r="409" spans="1:10" ht="16" x14ac:dyDescent="0.2">
      <c r="A409" s="16">
        <v>202</v>
      </c>
      <c r="B409" s="34">
        <v>43679</v>
      </c>
      <c r="C409" s="105">
        <v>38</v>
      </c>
      <c r="D409" s="17" t="str">
        <f>IF(C409=1,"Roßstr. 9",IF(C409=2,"Pfalzstr. 17",IF(C409=3,"Schlossstr. 19",IF(C409=4,"Neanderstr. 15",IF(C409=5,"Luisenstr. 3",IF(C409=6,"Lindenstr. 267",IF(C409=7,"Engerstr. 3",IF(C409=8,"Schützenstr. 20",IF(C409=9,"Stockkampstr. 47",IF(C409=10,"Driburgerstr. 8",IF(C409=11,"Kölnerstr. 261",IF(C409=12,"Merowingerstr. 17",IF(C409=13,"Borsigstr. 7",IF(C409=14,"Gerresheimer Landstr. 152",IF(C409=15,"Hoppengarten 15",IF(C409=16,"Hoppengarten 17",IF(C409=17,"Könerstr. 215",IF(C409=18,"Kölnerstr. 217",IF(C409=19,"Alte Bachstr. 25",IF(C409=20,"Kranzstr. 103",IF(C409=21,"Broicherdorfstr. 3",IF(C409=22,"Grafenberger Allee 235",IF(C409=23,"Börnestr. 2",IF(C409=24,"Angerbenden 31",IF(C409=25,"Koppelskamp 10",IF(C409=26,"Koppelskamp 12",IF(C409=27,"Koppelskamp 14",IF(C409=28,"Koppelskamp 8",IF(C409=29,"Bismarckstr. 109",IF(C409=30,"Memelstr. 43",IF(C409=31,"Angermunderstr. 30",IF(C409=32,"Koppelskamp 5",IF(C409=33,"Koppelskamp 5a",IF(C409=34,"Koppelskamp 7",IF(C409=35,"Lintorfer Waldstr. 6",IF(C409=36,"Lintorfer Waldstr. 8",IF(C409=37,"Lintorfer Waldstr. 10",IF(C409=38,"Koloniestr. 205",IF(C409=39,"Metzerstr. 28",IF(C409=40,"Metzerstr. 28a",IF(C409=41,"Spichernstr. 27",IF(C409=42,"Metzerstr. 17",IF(C409=43,"Neumühlerstr. 35",IF(C409=44,"Neumühlerstr. 37",IF(C409=45,"Neumühlerstr. 39",IF(C409=46,"Neumühlerstr. 41",IF(C409=47,"Mündelheimerstr. 3-5",IF(C409=48,"Mendelsohnstr. 3"))))))))))))))))))))))))))))))))))))))))))))))))</f>
        <v>Koloniestr. 205</v>
      </c>
      <c r="E409" s="17" t="s">
        <v>36</v>
      </c>
      <c r="F409" s="17" t="s">
        <v>1169</v>
      </c>
      <c r="G409" s="18" t="s">
        <v>1170</v>
      </c>
      <c r="H409" s="17" t="s">
        <v>13</v>
      </c>
      <c r="I409" s="17" t="s">
        <v>119</v>
      </c>
      <c r="J409" s="17" t="s">
        <v>119</v>
      </c>
    </row>
    <row r="410" spans="1:10" ht="16" x14ac:dyDescent="0.2">
      <c r="A410" s="16">
        <v>203</v>
      </c>
      <c r="B410" s="34">
        <v>43347</v>
      </c>
      <c r="C410" s="105">
        <v>15</v>
      </c>
      <c r="D410" s="17" t="s">
        <v>398</v>
      </c>
      <c r="E410" s="17" t="s">
        <v>60</v>
      </c>
      <c r="F410" s="17" t="s">
        <v>505</v>
      </c>
      <c r="G410" s="18" t="s">
        <v>506</v>
      </c>
      <c r="H410" s="17" t="s">
        <v>58</v>
      </c>
      <c r="I410" s="17" t="s">
        <v>14</v>
      </c>
      <c r="J410" s="17" t="s">
        <v>14</v>
      </c>
    </row>
    <row r="411" spans="1:10" ht="16" x14ac:dyDescent="0.2">
      <c r="A411" s="16">
        <v>203</v>
      </c>
      <c r="B411" s="34">
        <v>43679</v>
      </c>
      <c r="C411" s="105">
        <v>26</v>
      </c>
      <c r="D411" s="17" t="str">
        <f>IF(C411=1,"Roßstr. 9",IF(C411=2,"Pfalzstr. 17",IF(C411=3,"Schlossstr. 19",IF(C411=4,"Neanderstr. 15",IF(C411=5,"Luisenstr. 3",IF(C411=6,"Lindenstr. 267",IF(C411=7,"Engerstr. 3",IF(C411=8,"Schützenstr. 20",IF(C411=9,"Stockkampstr. 47",IF(C411=10,"Driburgerstr. 8",IF(C411=11,"Kölnerstr. 261",IF(C411=12,"Merowingerstr. 17",IF(C411=13,"Borsigstr. 7",IF(C411=14,"Gerresheimer Landstr. 152",IF(C411=15,"Hoppengarten 15",IF(C411=16,"Hoppengarten 17",IF(C411=17,"Könerstr. 215",IF(C411=18,"Kölnerstr. 217",IF(C411=19,"Alte Bachstr. 25",IF(C411=20,"Kranzstr. 103",IF(C411=21,"Broicherdorfstr. 3",IF(C411=22,"Grafenberger Allee 235",IF(C411=23,"Börnestr. 2",IF(C411=24,"Angerbenden 31",IF(C411=25,"Koppelskamp 10",IF(C411=26,"Koppelskamp 12",IF(C411=27,"Koppelskamp 14",IF(C411=28,"Koppelskamp 8",IF(C411=29,"Bismarckstr. 109",IF(C411=30,"Memelstr. 43",IF(C411=31,"Angermunderstr. 30",IF(C411=32,"Koppelskamp 5",IF(C411=33,"Koppelskamp 5a",IF(C411=34,"Koppelskamp 7",IF(C411=35,"Lintorfer Waldstr. 6",IF(C411=36,"Lintorfer Waldstr. 8",IF(C411=37,"Lintorfer Waldstr. 10",IF(C411=38,"Koloniestr. 205",IF(C411=39,"Metzerstr. 28",IF(C411=40,"Metzerstr. 28a",IF(C411=41,"Spichernstr. 27",IF(C411=42,"Metzerstr. 17",IF(C411=43,"Neumühlerstr. 35",IF(C411=44,"Neumühlerstr. 37",IF(C411=45,"Neumühlerstr. 39",IF(C411=46,"Neumühlerstr. 41",IF(C411=47,"Mündelheimerstr. 3-5",IF(C411=48,"Mendelsohnstr. 3"))))))))))))))))))))))))))))))))))))))))))))))))</f>
        <v>Koppelskamp 12</v>
      </c>
      <c r="E411" s="17" t="s">
        <v>10</v>
      </c>
      <c r="F411" s="17" t="s">
        <v>17</v>
      </c>
      <c r="G411" s="18" t="s">
        <v>369</v>
      </c>
      <c r="H411" s="17" t="s">
        <v>13</v>
      </c>
      <c r="I411" s="17" t="s">
        <v>48</v>
      </c>
      <c r="J411" s="17" t="s">
        <v>48</v>
      </c>
    </row>
    <row r="412" spans="1:10" ht="16" x14ac:dyDescent="0.2">
      <c r="A412" s="16">
        <v>204</v>
      </c>
      <c r="B412" s="34">
        <v>43347</v>
      </c>
      <c r="C412" s="105">
        <v>5</v>
      </c>
      <c r="D412" s="17" t="s">
        <v>164</v>
      </c>
      <c r="E412" s="17" t="s">
        <v>507</v>
      </c>
      <c r="F412" s="17" t="s">
        <v>508</v>
      </c>
      <c r="G412" s="18" t="s">
        <v>509</v>
      </c>
      <c r="H412" s="17" t="s">
        <v>23</v>
      </c>
      <c r="I412" s="17" t="s">
        <v>84</v>
      </c>
      <c r="J412" s="17" t="s">
        <v>84</v>
      </c>
    </row>
    <row r="413" spans="1:10" ht="16" x14ac:dyDescent="0.2">
      <c r="A413" s="16">
        <v>204</v>
      </c>
      <c r="B413" s="34">
        <v>43679</v>
      </c>
      <c r="C413" s="105">
        <v>26</v>
      </c>
      <c r="D413" s="17" t="str">
        <f>IF(C413=1,"Roßstr. 9",IF(C413=2,"Pfalzstr. 17",IF(C413=3,"Schlossstr. 19",IF(C413=4,"Neanderstr. 15",IF(C413=5,"Luisenstr. 3",IF(C413=6,"Lindenstr. 267",IF(C413=7,"Engerstr. 3",IF(C413=8,"Schützenstr. 20",IF(C413=9,"Stockkampstr. 47",IF(C413=10,"Driburgerstr. 8",IF(C413=11,"Kölnerstr. 261",IF(C413=12,"Merowingerstr. 17",IF(C413=13,"Borsigstr. 7",IF(C413=14,"Gerresheimer Landstr. 152",IF(C413=15,"Hoppengarten 15",IF(C413=16,"Hoppengarten 17",IF(C413=17,"Könerstr. 215",IF(C413=18,"Kölnerstr. 217",IF(C413=19,"Alte Bachstr. 25",IF(C413=20,"Kranzstr. 103",IF(C413=21,"Broicherdorfstr. 3",IF(C413=22,"Grafenberger Allee 235",IF(C413=23,"Börnestr. 2",IF(C413=24,"Angerbenden 31",IF(C413=25,"Koppelskamp 10",IF(C413=26,"Koppelskamp 12",IF(C413=27,"Koppelskamp 14",IF(C413=28,"Koppelskamp 8",IF(C413=29,"Bismarckstr. 109",IF(C413=30,"Memelstr. 43",IF(C413=31,"Angermunderstr. 30",IF(C413=32,"Koppelskamp 5",IF(C413=33,"Koppelskamp 5a",IF(C413=34,"Koppelskamp 7",IF(C413=35,"Lintorfer Waldstr. 6",IF(C413=36,"Lintorfer Waldstr. 8",IF(C413=37,"Lintorfer Waldstr. 10",IF(C413=38,"Koloniestr. 205",IF(C413=39,"Metzerstr. 28",IF(C413=40,"Metzerstr. 28a",IF(C413=41,"Spichernstr. 27",IF(C413=42,"Metzerstr. 17",IF(C413=43,"Neumühlerstr. 35",IF(C413=44,"Neumühlerstr. 37",IF(C413=45,"Neumühlerstr. 39",IF(C413=46,"Neumühlerstr. 41",IF(C413=47,"Mündelheimerstr. 3-5",IF(C413=48,"Mendelsohnstr. 3"))))))))))))))))))))))))))))))))))))))))))))))))</f>
        <v>Koppelskamp 12</v>
      </c>
      <c r="E413" s="17" t="s">
        <v>10</v>
      </c>
      <c r="F413" s="17" t="s">
        <v>17</v>
      </c>
      <c r="G413" s="18" t="s">
        <v>1171</v>
      </c>
      <c r="H413" s="17" t="s">
        <v>13</v>
      </c>
      <c r="I413" s="17" t="s">
        <v>119</v>
      </c>
      <c r="J413" s="17" t="s">
        <v>119</v>
      </c>
    </row>
    <row r="414" spans="1:10" ht="16" x14ac:dyDescent="0.2">
      <c r="A414" s="16">
        <v>205</v>
      </c>
      <c r="B414" s="34">
        <v>43347</v>
      </c>
      <c r="C414" s="105">
        <v>3</v>
      </c>
      <c r="D414" s="17" t="s">
        <v>295</v>
      </c>
      <c r="E414" s="17" t="s">
        <v>60</v>
      </c>
      <c r="F414" s="17" t="s">
        <v>510</v>
      </c>
      <c r="G414" s="18" t="s">
        <v>511</v>
      </c>
      <c r="H414" s="17" t="s">
        <v>13</v>
      </c>
      <c r="I414" s="17" t="s">
        <v>14</v>
      </c>
      <c r="J414" s="17" t="s">
        <v>14</v>
      </c>
    </row>
    <row r="415" spans="1:10" ht="16" x14ac:dyDescent="0.2">
      <c r="A415" s="16">
        <v>205</v>
      </c>
      <c r="B415" s="34">
        <v>43679</v>
      </c>
      <c r="C415" s="105">
        <v>21</v>
      </c>
      <c r="D415" s="17" t="str">
        <f>IF(C415=1,"Roßstr. 9",IF(C415=2,"Pfalzstr. 17",IF(C415=3,"Schlossstr. 19",IF(C415=4,"Neanderstr. 15",IF(C415=5,"Luisenstr. 3",IF(C415=6,"Lindenstr. 267",IF(C415=7,"Engerstr. 3",IF(C415=8,"Schützenstr. 20",IF(C415=9,"Stockkampstr. 47",IF(C415=10,"Driburgerstr. 8",IF(C415=11,"Kölnerstr. 261",IF(C415=12,"Merowingerstr. 17",IF(C415=13,"Borsigstr. 7",IF(C415=14,"Gerresheimer Landstr. 152",IF(C415=15,"Hoppengarten 15",IF(C415=16,"Hoppengarten 17",IF(C415=17,"Könerstr. 215",IF(C415=18,"Kölnerstr. 217",IF(C415=19,"Alte Bachstr. 25",IF(C415=20,"Kranzstr. 103",IF(C415=21,"Broicherdorfstr. 3",IF(C415=22,"Grafenberger Allee 235",IF(C415=23,"Börnestr. 2",IF(C415=24,"Angerbenden 31",IF(C415=25,"Koppelskamp 10",IF(C415=26,"Koppelskamp 12",IF(C415=27,"Koppelskamp 14",IF(C415=28,"Koppelskamp 8",IF(C415=29,"Bismarckstr. 109",IF(C415=30,"Memelstr. 43",IF(C415=31,"Angermunderstr. 30",IF(C415=32,"Koppelskamp 5",IF(C415=33,"Koppelskamp 5a",IF(C415=34,"Koppelskamp 7",IF(C415=35,"Lintorfer Waldstr. 6",IF(C415=36,"Lintorfer Waldstr. 8",IF(C415=37,"Lintorfer Waldstr. 10",IF(C415=38,"Koloniestr. 205",IF(C415=39,"Metzerstr. 28",IF(C415=40,"Metzerstr. 28a",IF(C415=41,"Spichernstr. 27",IF(C415=42,"Metzerstr. 17",IF(C415=43,"Neumühlerstr. 35",IF(C415=44,"Neumühlerstr. 37",IF(C415=45,"Neumühlerstr. 39",IF(C415=46,"Neumühlerstr. 41",IF(C415=47,"Mündelheimerstr. 3-5",IF(C415=48,"Mendelsohnstr. 3"))))))))))))))))))))))))))))))))))))))))))))))))</f>
        <v>Broicherdorfstr. 3</v>
      </c>
      <c r="E415" s="17" t="s">
        <v>467</v>
      </c>
      <c r="F415" s="17" t="s">
        <v>1172</v>
      </c>
      <c r="G415" s="32" t="s">
        <v>1173</v>
      </c>
      <c r="H415" s="17" t="s">
        <v>13</v>
      </c>
      <c r="I415" s="17" t="s">
        <v>19</v>
      </c>
      <c r="J415" s="17" t="s">
        <v>19</v>
      </c>
    </row>
    <row r="416" spans="1:10" ht="16" x14ac:dyDescent="0.2">
      <c r="A416" s="16">
        <v>206</v>
      </c>
      <c r="B416" s="34">
        <v>43682</v>
      </c>
      <c r="C416" s="105">
        <v>19</v>
      </c>
      <c r="D416" s="17" t="str">
        <f>IF(C416=1,"Roßstr. 9",IF(C416=2,"Pfalzstr. 17",IF(C416=3,"Schlossstr. 19",IF(C416=4,"Neanderstr. 15",IF(C416=5,"Luisenstr. 3",IF(C416=6,"Lindenstr. 267",IF(C416=7,"Engerstr. 3",IF(C416=8,"Schützenstr. 20",IF(C416=9,"Stockkampstr. 47",IF(C416=10,"Driburgerstr. 8",IF(C416=11,"Kölnerstr. 261",IF(C416=12,"Merowingerstr. 17",IF(C416=13,"Borsigstr. 7",IF(C416=14,"Gerresheimer Landstr. 152",IF(C416=15,"Hoppengarten 15",IF(C416=16,"Hoppengarten 17",IF(C416=17,"Könerstr. 215",IF(C416=18,"Kölnerstr. 217",IF(C416=19,"Alte Bachstr. 25",IF(C416=20,"Kranzstr. 103",IF(C416=21,"Broicherdorfstr. 3",IF(C416=22,"Grafenberger Allee 235",IF(C416=23,"Börnestr. 2",IF(C416=24,"Angerbenden 31",IF(C416=25,"Koppelskamp 10",IF(C416=26,"Koppelskamp 12",IF(C416=27,"Koppelskamp 14",IF(C416=28,"Koppelskamp 8",IF(C416=29,"Bismarckstr. 109",IF(C416=30,"Memelstr. 43",IF(C416=31,"Angermunderstr. 30",IF(C416=32,"Koppelskamp 5",IF(C416=33,"Koppelskamp 5a",IF(C416=34,"Koppelskamp 7",IF(C416=35,"Lintorfer Waldstr. 6",IF(C416=36,"Lintorfer Waldstr. 8",IF(C416=37,"Lintorfer Waldstr. 10",IF(C416=38,"Koloniestr. 205",IF(C416=39,"Metzerstr. 28",IF(C416=40,"Metzerstr. 28a",IF(C416=41,"Spichernstr. 27",IF(C416=42,"Metzerstr. 17",IF(C416=43,"Neumühlerstr. 35",IF(C416=44,"Neumühlerstr. 37",IF(C416=45,"Neumühlerstr. 39",IF(C416=46,"Neumühlerstr. 41",IF(C416=47,"Mündelheimerstr. 3-5",IF(C416=48,"Mendelsohnstr. 3"))))))))))))))))))))))))))))))))))))))))))))))))</f>
        <v>Alte Bachstr. 25</v>
      </c>
      <c r="E416" s="17" t="s">
        <v>1174</v>
      </c>
      <c r="F416" s="17" t="s">
        <v>17</v>
      </c>
      <c r="G416" s="18" t="s">
        <v>61</v>
      </c>
      <c r="H416" s="17" t="s">
        <v>23</v>
      </c>
      <c r="I416" s="23" t="s">
        <v>14</v>
      </c>
      <c r="J416" s="17" t="s">
        <v>14</v>
      </c>
    </row>
    <row r="417" spans="1:10" ht="16" x14ac:dyDescent="0.2">
      <c r="A417" s="16">
        <v>206</v>
      </c>
      <c r="B417" s="34">
        <v>43350</v>
      </c>
      <c r="C417" s="105">
        <v>16</v>
      </c>
      <c r="D417" s="17" t="s">
        <v>137</v>
      </c>
      <c r="E417" s="17" t="s">
        <v>428</v>
      </c>
      <c r="F417" s="17" t="s">
        <v>141</v>
      </c>
      <c r="G417" s="18" t="s">
        <v>512</v>
      </c>
      <c r="H417" s="17" t="s">
        <v>13</v>
      </c>
      <c r="I417" s="17" t="s">
        <v>181</v>
      </c>
      <c r="J417" s="17" t="s">
        <v>181</v>
      </c>
    </row>
    <row r="418" spans="1:10" ht="16" x14ac:dyDescent="0.2">
      <c r="A418" s="16">
        <v>207</v>
      </c>
      <c r="B418" s="34">
        <v>43354</v>
      </c>
      <c r="C418" s="105">
        <v>7</v>
      </c>
      <c r="D418" s="17" t="s">
        <v>55</v>
      </c>
      <c r="E418" s="17" t="s">
        <v>36</v>
      </c>
      <c r="F418" s="17" t="s">
        <v>513</v>
      </c>
      <c r="G418" s="18" t="s">
        <v>514</v>
      </c>
      <c r="H418" s="17" t="s">
        <v>13</v>
      </c>
      <c r="I418" s="17" t="s">
        <v>119</v>
      </c>
      <c r="J418" s="17" t="s">
        <v>14</v>
      </c>
    </row>
    <row r="419" spans="1:10" x14ac:dyDescent="0.2">
      <c r="A419" s="16">
        <v>207</v>
      </c>
      <c r="B419" s="34">
        <v>43682</v>
      </c>
      <c r="C419" s="105">
        <v>19</v>
      </c>
      <c r="D419" s="17" t="str">
        <f>IF(C419=1,"Roßstr. 9",IF(C419=2,"Pfalzstr. 17",IF(C419=3,"Schlossstr. 19",IF(C419=4,"Neanderstr. 15",IF(C419=5,"Luisenstr. 3",IF(C419=6,"Lindenstr. 267",IF(C419=7,"Engerstr. 3",IF(C419=8,"Schützenstr. 20",IF(C419=9,"Stockkampstr. 47",IF(C419=10,"Driburgerstr. 8",IF(C419=11,"Kölnerstr. 261",IF(C419=12,"Merowingerstr. 17",IF(C419=13,"Borsigstr. 7",IF(C419=14,"Gerresheimer Landstr. 152",IF(C419=15,"Hoppengarten 15",IF(C419=16,"Hoppengarten 17",IF(C419=17,"Könerstr. 215",IF(C419=18,"Kölnerstr. 217",IF(C419=19,"Alte Bachstr. 25",IF(C419=20,"Kranzstr. 103",IF(C419=21,"Broicherdorfstr. 3",IF(C419=22,"Grafenberger Allee 235",IF(C419=23,"Börnestr. 2",IF(C419=24,"Angerbenden 31",IF(C419=25,"Koppelskamp 10",IF(C419=26,"Koppelskamp 12",IF(C419=27,"Koppelskamp 14",IF(C419=28,"Koppelskamp 8",IF(C419=29,"Bismarckstr. 109",IF(C419=30,"Memelstr. 43",IF(C419=31,"Angermunderstr. 30",IF(C419=32,"Koppelskamp 5",IF(C419=33,"Koppelskamp 5a",IF(C419=34,"Koppelskamp 7",IF(C419=35,"Lintorfer Waldstr. 6",IF(C419=36,"Lintorfer Waldstr. 8",IF(C419=37,"Lintorfer Waldstr. 10",IF(C419=38,"Koloniestr. 205",IF(C419=39,"Metzerstr. 28",IF(C419=40,"Metzerstr. 28a",IF(C419=41,"Spichernstr. 27",IF(C419=42,"Metzerstr. 17",IF(C419=43,"Neumühlerstr. 35",IF(C419=44,"Neumühlerstr. 37",IF(C419=45,"Neumühlerstr. 39",IF(C419=46,"Neumühlerstr. 41",IF(C419=47,"Mündelheimerstr. 3-5",IF(C419=48,"Mendelsohnstr. 3"))))))))))))))))))))))))))))))))))))))))))))))))</f>
        <v>Alte Bachstr. 25</v>
      </c>
      <c r="E419" s="17" t="s">
        <v>1175</v>
      </c>
      <c r="F419" s="17" t="s">
        <v>17</v>
      </c>
      <c r="G419" s="33" t="s">
        <v>61</v>
      </c>
      <c r="H419" s="17" t="s">
        <v>23</v>
      </c>
      <c r="I419" s="17" t="s">
        <v>14</v>
      </c>
      <c r="J419" s="17" t="s">
        <v>14</v>
      </c>
    </row>
    <row r="420" spans="1:10" ht="16" x14ac:dyDescent="0.2">
      <c r="A420" s="16">
        <v>208</v>
      </c>
      <c r="B420" s="34">
        <v>43682</v>
      </c>
      <c r="C420" s="105">
        <v>19</v>
      </c>
      <c r="D420" s="17" t="str">
        <f>IF(C420=1,"Roßstr. 9",IF(C420=2,"Pfalzstr. 17",IF(C420=3,"Schlossstr. 19",IF(C420=4,"Neanderstr. 15",IF(C420=5,"Luisenstr. 3",IF(C420=6,"Lindenstr. 267",IF(C420=7,"Engerstr. 3",IF(C420=8,"Schützenstr. 20",IF(C420=9,"Stockkampstr. 47",IF(C420=10,"Driburgerstr. 8",IF(C420=11,"Kölnerstr. 261",IF(C420=12,"Merowingerstr. 17",IF(C420=13,"Borsigstr. 7",IF(C420=14,"Gerresheimer Landstr. 152",IF(C420=15,"Hoppengarten 15",IF(C420=16,"Hoppengarten 17",IF(C420=17,"Könerstr. 215",IF(C420=18,"Kölnerstr. 217",IF(C420=19,"Alte Bachstr. 25",IF(C420=20,"Kranzstr. 103",IF(C420=21,"Broicherdorfstr. 3",IF(C420=22,"Grafenberger Allee 235",IF(C420=23,"Börnestr. 2",IF(C420=24,"Angerbenden 31",IF(C420=25,"Koppelskamp 10",IF(C420=26,"Koppelskamp 12",IF(C420=27,"Koppelskamp 14",IF(C420=28,"Koppelskamp 8",IF(C420=29,"Bismarckstr. 109",IF(C420=30,"Memelstr. 43",IF(C420=31,"Angermunderstr. 30",IF(C420=32,"Koppelskamp 5",IF(C420=33,"Koppelskamp 5a",IF(C420=34,"Koppelskamp 7",IF(C420=35,"Lintorfer Waldstr. 6",IF(C420=36,"Lintorfer Waldstr. 8",IF(C420=37,"Lintorfer Waldstr. 10",IF(C420=38,"Koloniestr. 205",IF(C420=39,"Metzerstr. 28",IF(C420=40,"Metzerstr. 28a",IF(C420=41,"Spichernstr. 27",IF(C420=42,"Metzerstr. 17",IF(C420=43,"Neumühlerstr. 35",IF(C420=44,"Neumühlerstr. 37",IF(C420=45,"Neumühlerstr. 39",IF(C420=46,"Neumühlerstr. 41",IF(C420=47,"Mündelheimerstr. 3-5",IF(C420=48,"Mendelsohnstr. 3"))))))))))))))))))))))))))))))))))))))))))))))))</f>
        <v>Alte Bachstr. 25</v>
      </c>
      <c r="E420" s="17" t="s">
        <v>1176</v>
      </c>
      <c r="F420" s="17" t="s">
        <v>17</v>
      </c>
      <c r="G420" s="18" t="s">
        <v>61</v>
      </c>
      <c r="H420" s="17" t="s">
        <v>463</v>
      </c>
      <c r="I420" s="17" t="s">
        <v>14</v>
      </c>
      <c r="J420" s="17" t="s">
        <v>14</v>
      </c>
    </row>
    <row r="421" spans="1:10" ht="16" x14ac:dyDescent="0.2">
      <c r="A421" s="16">
        <v>208</v>
      </c>
      <c r="B421" s="34">
        <v>43354</v>
      </c>
      <c r="C421" s="105">
        <v>29</v>
      </c>
      <c r="D421" s="17" t="s">
        <v>98</v>
      </c>
      <c r="E421" s="17" t="s">
        <v>46</v>
      </c>
      <c r="F421" s="17" t="s">
        <v>515</v>
      </c>
      <c r="G421" s="18" t="s">
        <v>516</v>
      </c>
      <c r="H421" s="17" t="s">
        <v>58</v>
      </c>
      <c r="I421" s="17" t="s">
        <v>119</v>
      </c>
      <c r="J421" s="17" t="s">
        <v>119</v>
      </c>
    </row>
    <row r="422" spans="1:10" ht="16" x14ac:dyDescent="0.2">
      <c r="A422" s="16">
        <v>209</v>
      </c>
      <c r="B422" s="34">
        <v>43682</v>
      </c>
      <c r="C422" s="105">
        <v>36</v>
      </c>
      <c r="D422" s="17" t="str">
        <f>IF(C422=1,"Roßstr. 9",IF(C422=2,"Pfalzstr. 17",IF(C422=3,"Schlossstr. 19",IF(C422=4,"Neanderstr. 15",IF(C422=5,"Luisenstr. 3",IF(C422=6,"Lindenstr. 267",IF(C422=7,"Engerstr. 3",IF(C422=8,"Schützenstr. 20",IF(C422=9,"Stockkampstr. 47",IF(C422=10,"Driburgerstr. 8",IF(C422=11,"Kölnerstr. 261",IF(C422=12,"Merowingerstr. 17",IF(C422=13,"Borsigstr. 7",IF(C422=14,"Gerresheimer Landstr. 152",IF(C422=15,"Hoppengarten 15",IF(C422=16,"Hoppengarten 17",IF(C422=17,"Könerstr. 215",IF(C422=18,"Kölnerstr. 217",IF(C422=19,"Alte Bachstr. 25",IF(C422=20,"Kranzstr. 103",IF(C422=21,"Broicherdorfstr. 3",IF(C422=22,"Grafenberger Allee 235",IF(C422=23,"Börnestr. 2",IF(C422=24,"Angerbenden 31",IF(C422=25,"Koppelskamp 10",IF(C422=26,"Koppelskamp 12",IF(C422=27,"Koppelskamp 14",IF(C422=28,"Koppelskamp 8",IF(C422=29,"Bismarckstr. 109",IF(C422=30,"Memelstr. 43",IF(C422=31,"Angermunderstr. 30",IF(C422=32,"Koppelskamp 5",IF(C422=33,"Koppelskamp 5a",IF(C422=34,"Koppelskamp 7",IF(C422=35,"Lintorfer Waldstr. 6",IF(C422=36,"Lintorfer Waldstr. 8",IF(C422=37,"Lintorfer Waldstr. 10",IF(C422=38,"Koloniestr. 205",IF(C422=39,"Metzerstr. 28",IF(C422=40,"Metzerstr. 28a",IF(C422=41,"Spichernstr. 27",IF(C422=42,"Metzerstr. 17",IF(C422=43,"Neumühlerstr. 35",IF(C422=44,"Neumühlerstr. 37",IF(C422=45,"Neumühlerstr. 39",IF(C422=46,"Neumühlerstr. 41",IF(C422=47,"Mündelheimerstr. 3-5",IF(C422=48,"Mendelsohnstr. 3"))))))))))))))))))))))))))))))))))))))))))))))))</f>
        <v>Lintorfer Waldstr. 8</v>
      </c>
      <c r="E422" s="17" t="s">
        <v>138</v>
      </c>
      <c r="F422" s="17" t="s">
        <v>1177</v>
      </c>
      <c r="G422" s="18" t="s">
        <v>1178</v>
      </c>
      <c r="H422" s="17" t="s">
        <v>13</v>
      </c>
      <c r="I422" s="17" t="s">
        <v>136</v>
      </c>
      <c r="J422" s="17" t="s">
        <v>1179</v>
      </c>
    </row>
    <row r="423" spans="1:10" ht="16" x14ac:dyDescent="0.2">
      <c r="A423" s="16">
        <v>209</v>
      </c>
      <c r="B423" s="34">
        <v>43355</v>
      </c>
      <c r="C423" s="105">
        <v>46</v>
      </c>
      <c r="D423" s="17" t="s">
        <v>517</v>
      </c>
      <c r="E423" s="17" t="s">
        <v>146</v>
      </c>
      <c r="F423" s="17" t="s">
        <v>518</v>
      </c>
      <c r="G423" s="18" t="s">
        <v>519</v>
      </c>
      <c r="H423" s="17" t="s">
        <v>23</v>
      </c>
      <c r="I423" s="17" t="s">
        <v>30</v>
      </c>
      <c r="J423" s="17" t="s">
        <v>30</v>
      </c>
    </row>
    <row r="424" spans="1:10" ht="16" x14ac:dyDescent="0.2">
      <c r="A424" s="16">
        <v>210</v>
      </c>
      <c r="B424" s="34">
        <v>43683</v>
      </c>
      <c r="C424" s="105">
        <v>26</v>
      </c>
      <c r="D424" s="17" t="str">
        <f>IF(C424=1,"Roßstr. 9",IF(C424=2,"Pfalzstr. 17",IF(C424=3,"Schlossstr. 19",IF(C424=4,"Neanderstr. 15",IF(C424=5,"Luisenstr. 3",IF(C424=6,"Lindenstr. 267",IF(C424=7,"Engerstr. 3",IF(C424=8,"Schützenstr. 20",IF(C424=9,"Stockkampstr. 47",IF(C424=10,"Driburgerstr. 8",IF(C424=11,"Kölnerstr. 261",IF(C424=12,"Merowingerstr. 17",IF(C424=13,"Borsigstr. 7",IF(C424=14,"Gerresheimer Landstr. 152",IF(C424=15,"Hoppengarten 15",IF(C424=16,"Hoppengarten 17",IF(C424=17,"Könerstr. 215",IF(C424=18,"Kölnerstr. 217",IF(C424=19,"Alte Bachstr. 25",IF(C424=20,"Kranzstr. 103",IF(C424=21,"Broicherdorfstr. 3",IF(C424=22,"Grafenberger Allee 235",IF(C424=23,"Börnestr. 2",IF(C424=24,"Angerbenden 31",IF(C424=25,"Koppelskamp 10",IF(C424=26,"Koppelskamp 12",IF(C424=27,"Koppelskamp 14",IF(C424=28,"Koppelskamp 8",IF(C424=29,"Bismarckstr. 109",IF(C424=30,"Memelstr. 43",IF(C424=31,"Angermunderstr. 30",IF(C424=32,"Koppelskamp 5",IF(C424=33,"Koppelskamp 5a",IF(C424=34,"Koppelskamp 7",IF(C424=35,"Lintorfer Waldstr. 6",IF(C424=36,"Lintorfer Waldstr. 8",IF(C424=37,"Lintorfer Waldstr. 10",IF(C424=38,"Koloniestr. 205",IF(C424=39,"Metzerstr. 28",IF(C424=40,"Metzerstr. 28a",IF(C424=41,"Spichernstr. 27",IF(C424=42,"Metzerstr. 17",IF(C424=43,"Neumühlerstr. 35",IF(C424=44,"Neumühlerstr. 37",IF(C424=45,"Neumühlerstr. 39",IF(C424=46,"Neumühlerstr. 41",IF(C424=47,"Mündelheimerstr. 3-5",IF(C424=48,"Mendelsohnstr. 3"))))))))))))))))))))))))))))))))))))))))))))))))</f>
        <v>Koppelskamp 12</v>
      </c>
      <c r="E424" s="17" t="s">
        <v>10</v>
      </c>
      <c r="F424" s="17" t="s">
        <v>17</v>
      </c>
      <c r="G424" s="18" t="s">
        <v>1180</v>
      </c>
      <c r="H424" s="17" t="s">
        <v>13</v>
      </c>
      <c r="I424" s="17" t="s">
        <v>19</v>
      </c>
      <c r="J424" s="17" t="s">
        <v>19</v>
      </c>
    </row>
    <row r="425" spans="1:10" ht="32" x14ac:dyDescent="0.2">
      <c r="A425" s="16">
        <v>210</v>
      </c>
      <c r="B425" s="34">
        <v>43355</v>
      </c>
      <c r="C425" s="105">
        <v>20</v>
      </c>
      <c r="D425" s="17" t="s">
        <v>100</v>
      </c>
      <c r="E425" s="17" t="s">
        <v>520</v>
      </c>
      <c r="F425" s="17"/>
      <c r="G425" s="18" t="s">
        <v>521</v>
      </c>
      <c r="H425" s="17" t="s">
        <v>23</v>
      </c>
      <c r="I425" s="17" t="s">
        <v>76</v>
      </c>
      <c r="J425" s="17" t="s">
        <v>252</v>
      </c>
    </row>
    <row r="426" spans="1:10" ht="16" x14ac:dyDescent="0.2">
      <c r="A426" s="16">
        <v>211</v>
      </c>
      <c r="B426" s="34">
        <v>43684</v>
      </c>
      <c r="C426" s="105">
        <v>19</v>
      </c>
      <c r="D426" s="17" t="str">
        <f>IF(C426=1,"Roßstr. 9",IF(C426=2,"Pfalzstr. 17",IF(C426=3,"Schlossstr. 19",IF(C426=4,"Neanderstr. 15",IF(C426=5,"Luisenstr. 3",IF(C426=6,"Lindenstr. 267",IF(C426=7,"Engerstr. 3",IF(C426=8,"Schützenstr. 20",IF(C426=9,"Stockkampstr. 47",IF(C426=10,"Driburgerstr. 8",IF(C426=11,"Kölnerstr. 261",IF(C426=12,"Merowingerstr. 17",IF(C426=13,"Borsigstr. 7",IF(C426=14,"Gerresheimer Landstr. 152",IF(C426=15,"Hoppengarten 15",IF(C426=16,"Hoppengarten 17",IF(C426=17,"Könerstr. 215",IF(C426=18,"Kölnerstr. 217",IF(C426=19,"Alte Bachstr. 25",IF(C426=20,"Kranzstr. 103",IF(C426=21,"Broicherdorfstr. 3",IF(C426=22,"Grafenberger Allee 235",IF(C426=23,"Börnestr. 2",IF(C426=24,"Angerbenden 31",IF(C426=25,"Koppelskamp 10",IF(C426=26,"Koppelskamp 12",IF(C426=27,"Koppelskamp 14",IF(C426=28,"Koppelskamp 8",IF(C426=29,"Bismarckstr. 109",IF(C426=30,"Memelstr. 43",IF(C426=31,"Angermunderstr. 30",IF(C426=32,"Koppelskamp 5",IF(C426=33,"Koppelskamp 5a",IF(C426=34,"Koppelskamp 7",IF(C426=35,"Lintorfer Waldstr. 6",IF(C426=36,"Lintorfer Waldstr. 8",IF(C426=37,"Lintorfer Waldstr. 10",IF(C426=38,"Koloniestr. 205",IF(C426=39,"Metzerstr. 28",IF(C426=40,"Metzerstr. 28a",IF(C426=41,"Spichernstr. 27",IF(C426=42,"Metzerstr. 17",IF(C426=43,"Neumühlerstr. 35",IF(C426=44,"Neumühlerstr. 37",IF(C426=45,"Neumühlerstr. 39",IF(C426=46,"Neumühlerstr. 41",IF(C426=47,"Mündelheimerstr. 3-5",IF(C426=48,"Mendelsohnstr. 3"))))))))))))))))))))))))))))))))))))))))))))))))</f>
        <v>Alte Bachstr. 25</v>
      </c>
      <c r="E426" s="17" t="s">
        <v>1181</v>
      </c>
      <c r="F426" s="17" t="s">
        <v>289</v>
      </c>
      <c r="G426" s="18" t="s">
        <v>1182</v>
      </c>
      <c r="H426" s="17" t="s">
        <v>13</v>
      </c>
      <c r="I426" s="17" t="s">
        <v>48</v>
      </c>
      <c r="J426" s="17" t="s">
        <v>48</v>
      </c>
    </row>
    <row r="427" spans="1:10" ht="16" x14ac:dyDescent="0.2">
      <c r="A427" s="16">
        <v>211</v>
      </c>
      <c r="B427" s="34">
        <v>43360</v>
      </c>
      <c r="C427" s="105">
        <v>29</v>
      </c>
      <c r="D427" s="17" t="s">
        <v>98</v>
      </c>
      <c r="E427" s="17" t="s">
        <v>32</v>
      </c>
      <c r="F427" s="17" t="s">
        <v>17</v>
      </c>
      <c r="G427" s="18" t="s">
        <v>522</v>
      </c>
      <c r="H427" s="17" t="s">
        <v>13</v>
      </c>
      <c r="I427" s="17" t="s">
        <v>119</v>
      </c>
      <c r="J427" s="17" t="s">
        <v>119</v>
      </c>
    </row>
    <row r="428" spans="1:10" ht="16" x14ac:dyDescent="0.2">
      <c r="A428" s="16">
        <v>212</v>
      </c>
      <c r="B428" s="34">
        <v>43685</v>
      </c>
      <c r="C428" s="105">
        <v>7</v>
      </c>
      <c r="D428" s="17" t="str">
        <f>IF(C428=1,"Roßstr. 9",IF(C428=2,"Pfalzstr. 17",IF(C428=3,"Schlossstr. 19",IF(C428=4,"Neanderstr. 15",IF(C428=5,"Luisenstr. 3",IF(C428=6,"Lindenstr. 267",IF(C428=7,"Engerstr. 3",IF(C428=8,"Schützenstr. 20",IF(C428=9,"Stockkampstr. 47",IF(C428=10,"Driburgerstr. 8",IF(C428=11,"Kölnerstr. 261",IF(C428=12,"Merowingerstr. 17",IF(C428=13,"Borsigstr. 7",IF(C428=14,"Gerresheimer Landstr. 152",IF(C428=15,"Hoppengarten 15",IF(C428=16,"Hoppengarten 17",IF(C428=17,"Könerstr. 215",IF(C428=18,"Kölnerstr. 217",IF(C428=19,"Alte Bachstr. 25",IF(C428=20,"Kranzstr. 103",IF(C428=21,"Broicherdorfstr. 3",IF(C428=22,"Grafenberger Allee 235",IF(C428=23,"Börnestr. 2",IF(C428=24,"Angerbenden 31",IF(C428=25,"Koppelskamp 10",IF(C428=26,"Koppelskamp 12",IF(C428=27,"Koppelskamp 14",IF(C428=28,"Koppelskamp 8",IF(C428=29,"Bismarckstr. 109",IF(C428=30,"Memelstr. 43",IF(C428=31,"Angermunderstr. 30",IF(C428=32,"Koppelskamp 5",IF(C428=33,"Koppelskamp 5a",IF(C428=34,"Koppelskamp 7",IF(C428=35,"Lintorfer Waldstr. 6",IF(C428=36,"Lintorfer Waldstr. 8",IF(C428=37,"Lintorfer Waldstr. 10",IF(C428=38,"Koloniestr. 205",IF(C428=39,"Metzerstr. 28",IF(C428=40,"Metzerstr. 28a",IF(C428=41,"Spichernstr. 27",IF(C428=42,"Metzerstr. 17",IF(C428=43,"Neumühlerstr. 35",IF(C428=44,"Neumühlerstr. 37",IF(C428=45,"Neumühlerstr. 39",IF(C428=46,"Neumühlerstr. 41",IF(C428=47,"Mündelheimerstr. 3-5",IF(C428=48,"Mendelsohnstr. 3"))))))))))))))))))))))))))))))))))))))))))))))))</f>
        <v>Engerstr. 3</v>
      </c>
      <c r="E428" s="17" t="s">
        <v>149</v>
      </c>
      <c r="F428" s="17" t="s">
        <v>17</v>
      </c>
      <c r="G428" s="18" t="s">
        <v>1183</v>
      </c>
      <c r="H428" s="17" t="s">
        <v>13</v>
      </c>
      <c r="I428" s="17" t="s">
        <v>119</v>
      </c>
      <c r="J428" s="17" t="s">
        <v>119</v>
      </c>
    </row>
    <row r="429" spans="1:10" ht="16" x14ac:dyDescent="0.2">
      <c r="A429" s="16">
        <v>212</v>
      </c>
      <c r="B429" s="34">
        <v>43360</v>
      </c>
      <c r="C429" s="105">
        <v>1</v>
      </c>
      <c r="D429" s="17" t="s">
        <v>390</v>
      </c>
      <c r="E429" s="17" t="s">
        <v>466</v>
      </c>
      <c r="F429" s="17" t="s">
        <v>523</v>
      </c>
      <c r="G429" s="18" t="s">
        <v>524</v>
      </c>
      <c r="H429" s="17" t="s">
        <v>13</v>
      </c>
      <c r="I429" s="17" t="s">
        <v>181</v>
      </c>
      <c r="J429" s="17" t="s">
        <v>181</v>
      </c>
    </row>
    <row r="430" spans="1:10" ht="16" x14ac:dyDescent="0.2">
      <c r="A430" s="16">
        <v>213</v>
      </c>
      <c r="B430" s="34">
        <v>43685</v>
      </c>
      <c r="C430" s="105">
        <v>8</v>
      </c>
      <c r="D430" s="17" t="str">
        <f>IF(C430=1,"Roßstr. 9",IF(C430=2,"Pfalzstr. 17",IF(C430=3,"Schlossstr. 19",IF(C430=4,"Neanderstr. 15",IF(C430=5,"Luisenstr. 3",IF(C430=6,"Lindenstr. 267",IF(C430=7,"Engerstr. 3",IF(C430=8,"Schützenstr. 20",IF(C430=9,"Stockkampstr. 47",IF(C430=10,"Driburgerstr. 8",IF(C430=11,"Kölnerstr. 261",IF(C430=12,"Merowingerstr. 17",IF(C430=13,"Borsigstr. 7",IF(C430=14,"Gerresheimer Landstr. 152",IF(C430=15,"Hoppengarten 15",IF(C430=16,"Hoppengarten 17",IF(C430=17,"Könerstr. 215",IF(C430=18,"Kölnerstr. 217",IF(C430=19,"Alte Bachstr. 25",IF(C430=20,"Kranzstr. 103",IF(C430=21,"Broicherdorfstr. 3",IF(C430=22,"Grafenberger Allee 235",IF(C430=23,"Börnestr. 2",IF(C430=24,"Angerbenden 31",IF(C430=25,"Koppelskamp 10",IF(C430=26,"Koppelskamp 12",IF(C430=27,"Koppelskamp 14",IF(C430=28,"Koppelskamp 8",IF(C430=29,"Bismarckstr. 109",IF(C430=30,"Memelstr. 43",IF(C430=31,"Angermunderstr. 30",IF(C430=32,"Koppelskamp 5",IF(C430=33,"Koppelskamp 5a",IF(C430=34,"Koppelskamp 7",IF(C430=35,"Lintorfer Waldstr. 6",IF(C430=36,"Lintorfer Waldstr. 8",IF(C430=37,"Lintorfer Waldstr. 10",IF(C430=38,"Koloniestr. 205",IF(C430=39,"Metzerstr. 28",IF(C430=40,"Metzerstr. 28a",IF(C430=41,"Spichernstr. 27",IF(C430=42,"Metzerstr. 17",IF(C430=43,"Neumühlerstr. 35",IF(C430=44,"Neumühlerstr. 37",IF(C430=45,"Neumühlerstr. 39",IF(C430=46,"Neumühlerstr. 41",IF(C430=47,"Mündelheimerstr. 3-5",IF(C430=48,"Mendelsohnstr. 3"))))))))))))))))))))))))))))))))))))))))))))))))</f>
        <v>Schützenstr. 20</v>
      </c>
      <c r="E430" s="17" t="s">
        <v>134</v>
      </c>
      <c r="F430" s="17"/>
      <c r="G430" s="18" t="s">
        <v>1184</v>
      </c>
      <c r="H430" s="17" t="s">
        <v>58</v>
      </c>
      <c r="I430" s="17" t="s">
        <v>14</v>
      </c>
      <c r="J430" s="17" t="s">
        <v>14</v>
      </c>
    </row>
    <row r="431" spans="1:10" ht="16" x14ac:dyDescent="0.2">
      <c r="A431" s="16">
        <v>213</v>
      </c>
      <c r="B431" s="34">
        <v>43360</v>
      </c>
      <c r="C431" s="105">
        <v>7</v>
      </c>
      <c r="D431" s="17" t="s">
        <v>55</v>
      </c>
      <c r="E431" s="17" t="s">
        <v>46</v>
      </c>
      <c r="F431" s="17" t="s">
        <v>525</v>
      </c>
      <c r="G431" s="18" t="s">
        <v>526</v>
      </c>
      <c r="H431" s="17" t="s">
        <v>58</v>
      </c>
      <c r="I431" s="17" t="s">
        <v>527</v>
      </c>
      <c r="J431" s="17" t="s">
        <v>967</v>
      </c>
    </row>
    <row r="432" spans="1:10" ht="16" x14ac:dyDescent="0.2">
      <c r="A432" s="16">
        <v>214</v>
      </c>
      <c r="B432" s="34">
        <v>43362</v>
      </c>
      <c r="C432" s="105">
        <v>12</v>
      </c>
      <c r="D432" s="17" t="s">
        <v>89</v>
      </c>
      <c r="E432" s="17" t="s">
        <v>528</v>
      </c>
      <c r="F432" s="17" t="s">
        <v>529</v>
      </c>
      <c r="G432" s="18" t="s">
        <v>530</v>
      </c>
      <c r="H432" s="17" t="s">
        <v>463</v>
      </c>
      <c r="I432" s="17" t="s">
        <v>14</v>
      </c>
      <c r="J432" s="17" t="s">
        <v>14</v>
      </c>
    </row>
    <row r="433" spans="1:10" ht="16" x14ac:dyDescent="0.2">
      <c r="A433" s="16">
        <v>214</v>
      </c>
      <c r="B433" s="34">
        <v>43686</v>
      </c>
      <c r="C433" s="105">
        <v>23</v>
      </c>
      <c r="D433" s="17" t="str">
        <f>IF(C433=1,"Roßstr. 9",IF(C433=2,"Pfalzstr. 17",IF(C433=3,"Schlossstr. 19",IF(C433=4,"Neanderstr. 15",IF(C433=5,"Luisenstr. 3",IF(C433=6,"Lindenstr. 267",IF(C433=7,"Engerstr. 3",IF(C433=8,"Schützenstr. 20",IF(C433=9,"Stockkampstr. 47",IF(C433=10,"Driburgerstr. 8",IF(C433=11,"Kölnerstr. 261",IF(C433=12,"Merowingerstr. 17",IF(C433=13,"Borsigstr. 7",IF(C433=14,"Gerresheimer Landstr. 152",IF(C433=15,"Hoppengarten 15",IF(C433=16,"Hoppengarten 17",IF(C433=17,"Könerstr. 215",IF(C433=18,"Kölnerstr. 217",IF(C433=19,"Alte Bachstr. 25",IF(C433=20,"Kranzstr. 103",IF(C433=21,"Broicherdorfstr. 3",IF(C433=22,"Grafenberger Allee 235",IF(C433=23,"Börnestr. 2",IF(C433=24,"Angerbenden 31",IF(C433=25,"Koppelskamp 10",IF(C433=26,"Koppelskamp 12",IF(C433=27,"Koppelskamp 14",IF(C433=28,"Koppelskamp 8",IF(C433=29,"Bismarckstr. 109",IF(C433=30,"Memelstr. 43",IF(C433=31,"Angermunderstr. 30",IF(C433=32,"Koppelskamp 5",IF(C433=33,"Koppelskamp 5a",IF(C433=34,"Koppelskamp 7",IF(C433=35,"Lintorfer Waldstr. 6",IF(C433=36,"Lintorfer Waldstr. 8",IF(C433=37,"Lintorfer Waldstr. 10",IF(C433=38,"Koloniestr. 205",IF(C433=39,"Metzerstr. 28",IF(C433=40,"Metzerstr. 28a",IF(C433=41,"Spichernstr. 27",IF(C433=42,"Metzerstr. 17",IF(C433=43,"Neumühlerstr. 35",IF(C433=44,"Neumühlerstr. 37",IF(C433=45,"Neumühlerstr. 39",IF(C433=46,"Neumühlerstr. 41",IF(C433=47,"Mündelheimerstr. 3-5",IF(C433=48,"Mendelsohnstr. 3"))))))))))))))))))))))))))))))))))))))))))))))))</f>
        <v>Börnestr. 2</v>
      </c>
      <c r="E433" s="17" t="s">
        <v>466</v>
      </c>
      <c r="F433" s="17" t="s">
        <v>523</v>
      </c>
      <c r="G433" s="18" t="s">
        <v>1185</v>
      </c>
      <c r="H433" s="17" t="s">
        <v>13</v>
      </c>
      <c r="I433" s="17" t="s">
        <v>386</v>
      </c>
      <c r="J433" s="21"/>
    </row>
    <row r="434" spans="1:10" ht="16" x14ac:dyDescent="0.2">
      <c r="A434" s="16">
        <v>215</v>
      </c>
      <c r="B434" s="34">
        <v>43362</v>
      </c>
      <c r="C434" s="105">
        <v>45</v>
      </c>
      <c r="D434" s="17" t="s">
        <v>531</v>
      </c>
      <c r="E434" s="17" t="s">
        <v>64</v>
      </c>
      <c r="F434" s="17" t="s">
        <v>532</v>
      </c>
      <c r="G434" s="18" t="s">
        <v>533</v>
      </c>
      <c r="H434" s="17" t="s">
        <v>23</v>
      </c>
      <c r="I434" s="17" t="s">
        <v>14</v>
      </c>
      <c r="J434" s="17" t="s">
        <v>14</v>
      </c>
    </row>
    <row r="435" spans="1:10" ht="16" x14ac:dyDescent="0.2">
      <c r="A435" s="16">
        <v>215</v>
      </c>
      <c r="B435" s="34">
        <v>43686</v>
      </c>
      <c r="C435" s="105">
        <v>6</v>
      </c>
      <c r="D435" s="17" t="str">
        <f>IF(C435=1,"Roßstr. 9",IF(C435=2,"Pfalzstr. 17",IF(C435=3,"Schlossstr. 19",IF(C435=4,"Neanderstr. 15",IF(C435=5,"Luisenstr. 3",IF(C435=6,"Lindenstr. 267",IF(C435=7,"Engerstr. 3",IF(C435=8,"Schützenstr. 20",IF(C435=9,"Stockkampstr. 47",IF(C435=10,"Driburgerstr. 8",IF(C435=11,"Kölnerstr. 261",IF(C435=12,"Merowingerstr. 17",IF(C435=13,"Borsigstr. 7",IF(C435=14,"Gerresheimer Landstr. 152",IF(C435=15,"Hoppengarten 15",IF(C435=16,"Hoppengarten 17",IF(C435=17,"Könerstr. 215",IF(C435=18,"Kölnerstr. 217",IF(C435=19,"Alte Bachstr. 25",IF(C435=20,"Kranzstr. 103",IF(C435=21,"Broicherdorfstr. 3",IF(C435=22,"Grafenberger Allee 235",IF(C435=23,"Börnestr. 2",IF(C435=24,"Angerbenden 31",IF(C435=25,"Koppelskamp 10",IF(C435=26,"Koppelskamp 12",IF(C435=27,"Koppelskamp 14",IF(C435=28,"Koppelskamp 8",IF(C435=29,"Bismarckstr. 109",IF(C435=30,"Memelstr. 43",IF(C435=31,"Angermunderstr. 30",IF(C435=32,"Koppelskamp 5",IF(C435=33,"Koppelskamp 5a",IF(C435=34,"Koppelskamp 7",IF(C435=35,"Lintorfer Waldstr. 6",IF(C435=36,"Lintorfer Waldstr. 8",IF(C435=37,"Lintorfer Waldstr. 10",IF(C435=38,"Koloniestr. 205",IF(C435=39,"Metzerstr. 28",IF(C435=40,"Metzerstr. 28a",IF(C435=41,"Spichernstr. 27",IF(C435=42,"Metzerstr. 17",IF(C435=43,"Neumühlerstr. 35",IF(C435=44,"Neumühlerstr. 37",IF(C435=45,"Neumühlerstr. 39",IF(C435=46,"Neumühlerstr. 41",IF(C435=47,"Mündelheimerstr. 3-5",IF(C435=48,"Mendelsohnstr. 3"))))))))))))))))))))))))))))))))))))))))))))))))</f>
        <v>Lindenstr. 267</v>
      </c>
      <c r="E435" s="17" t="s">
        <v>467</v>
      </c>
      <c r="F435" s="17" t="s">
        <v>17</v>
      </c>
      <c r="G435" s="18" t="s">
        <v>1186</v>
      </c>
      <c r="H435" s="17" t="s">
        <v>13</v>
      </c>
      <c r="I435" s="17" t="s">
        <v>909</v>
      </c>
      <c r="J435" s="21" t="s">
        <v>909</v>
      </c>
    </row>
    <row r="436" spans="1:10" ht="16" x14ac:dyDescent="0.2">
      <c r="A436" s="16">
        <v>216</v>
      </c>
      <c r="B436" s="34">
        <v>43367</v>
      </c>
      <c r="C436" s="105">
        <v>14</v>
      </c>
      <c r="D436" s="17" t="s">
        <v>534</v>
      </c>
      <c r="E436" s="17"/>
      <c r="F436" s="17"/>
      <c r="G436" s="18" t="s">
        <v>535</v>
      </c>
      <c r="H436" s="17" t="s">
        <v>23</v>
      </c>
      <c r="I436" s="17" t="s">
        <v>181</v>
      </c>
      <c r="J436" s="17" t="s">
        <v>181</v>
      </c>
    </row>
    <row r="437" spans="1:10" ht="16" x14ac:dyDescent="0.2">
      <c r="A437" s="16">
        <v>216</v>
      </c>
      <c r="B437" s="34">
        <v>43686</v>
      </c>
      <c r="C437" s="105">
        <v>39</v>
      </c>
      <c r="D437" s="17" t="str">
        <f>IF(C437=1,"Roßstr. 9",IF(C437=2,"Pfalzstr. 17",IF(C437=3,"Schlossstr. 19",IF(C437=4,"Neanderstr. 15",IF(C437=5,"Luisenstr. 3",IF(C437=6,"Lindenstr. 267",IF(C437=7,"Engerstr. 3",IF(C437=8,"Schützenstr. 20",IF(C437=9,"Stockkampstr. 47",IF(C437=10,"Driburgerstr. 8",IF(C437=11,"Kölnerstr. 261",IF(C437=12,"Merowingerstr. 17",IF(C437=13,"Borsigstr. 7",IF(C437=14,"Gerresheimer Landstr. 152",IF(C437=15,"Hoppengarten 15",IF(C437=16,"Hoppengarten 17",IF(C437=17,"Könerstr. 215",IF(C437=18,"Kölnerstr. 217",IF(C437=19,"Alte Bachstr. 25",IF(C437=20,"Kranzstr. 103",IF(C437=21,"Broicherdorfstr. 3",IF(C437=22,"Grafenberger Allee 235",IF(C437=23,"Börnestr. 2",IF(C437=24,"Angerbenden 31",IF(C437=25,"Koppelskamp 10",IF(C437=26,"Koppelskamp 12",IF(C437=27,"Koppelskamp 14",IF(C437=28,"Koppelskamp 8",IF(C437=29,"Bismarckstr. 109",IF(C437=30,"Memelstr. 43",IF(C437=31,"Angermunderstr. 30",IF(C437=32,"Koppelskamp 5",IF(C437=33,"Koppelskamp 5a",IF(C437=34,"Koppelskamp 7",IF(C437=35,"Lintorfer Waldstr. 6",IF(C437=36,"Lintorfer Waldstr. 8",IF(C437=37,"Lintorfer Waldstr. 10",IF(C437=38,"Koloniestr. 205",IF(C437=39,"Metzerstr. 28",IF(C437=40,"Metzerstr. 28a",IF(C437=41,"Spichernstr. 27",IF(C437=42,"Metzerstr. 17",IF(C437=43,"Neumühlerstr. 35",IF(C437=44,"Neumühlerstr. 37",IF(C437=45,"Neumühlerstr. 39",IF(C437=46,"Neumühlerstr. 41",IF(C437=47,"Mündelheimerstr. 3-5",IF(C437=48,"Mendelsohnstr. 3"))))))))))))))))))))))))))))))))))))))))))))))))</f>
        <v>Metzerstr. 28</v>
      </c>
      <c r="E437" s="17" t="s">
        <v>138</v>
      </c>
      <c r="F437" s="17" t="s">
        <v>968</v>
      </c>
      <c r="G437" s="18" t="s">
        <v>1187</v>
      </c>
      <c r="H437" s="17" t="s">
        <v>13</v>
      </c>
      <c r="I437" s="17" t="s">
        <v>909</v>
      </c>
      <c r="J437" s="21" t="s">
        <v>909</v>
      </c>
    </row>
    <row r="438" spans="1:10" ht="16" x14ac:dyDescent="0.2">
      <c r="A438" s="16">
        <v>217</v>
      </c>
      <c r="B438" s="34">
        <v>43689</v>
      </c>
      <c r="C438" s="105">
        <v>2</v>
      </c>
      <c r="D438" s="17" t="str">
        <f>IF(C438=1,"Roßstr. 9",IF(C438=2,"Pfalzstr. 17",IF(C438=3,"Schlossstr. 19",IF(C438=4,"Neanderstr. 15",IF(C438=5,"Luisenstr. 3",IF(C438=6,"Lindenstr. 267",IF(C438=7,"Engerstr. 3",IF(C438=8,"Schützenstr. 20",IF(C438=9,"Stockkampstr. 47",IF(C438=10,"Driburgerstr. 8",IF(C438=11,"Kölnerstr. 261",IF(C438=12,"Merowingerstr. 17",IF(C438=13,"Borsigstr. 7",IF(C438=14,"Gerresheimer Landstr. 152",IF(C438=15,"Hoppengarten 15",IF(C438=16,"Hoppengarten 17",IF(C438=17,"Könerstr. 215",IF(C438=18,"Kölnerstr. 217",IF(C438=19,"Alte Bachstr. 25",IF(C438=20,"Kranzstr. 103",IF(C438=21,"Broicherdorfstr. 3",IF(C438=22,"Grafenberger Allee 235",IF(C438=23,"Börnestr. 2",IF(C438=24,"Angerbenden 31",IF(C438=25,"Koppelskamp 10",IF(C438=26,"Koppelskamp 12",IF(C438=27,"Koppelskamp 14",IF(C438=28,"Koppelskamp 8",IF(C438=29,"Bismarckstr. 109",IF(C438=30,"Memelstr. 43",IF(C438=31,"Angermunderstr. 30",IF(C438=32,"Koppelskamp 5",IF(C438=33,"Koppelskamp 5a",IF(C438=34,"Koppelskamp 7",IF(C438=35,"Lintorfer Waldstr. 6",IF(C438=36,"Lintorfer Waldstr. 8",IF(C438=37,"Lintorfer Waldstr. 10",IF(C438=38,"Koloniestr. 205",IF(C438=39,"Metzerstr. 28",IF(C438=40,"Metzerstr. 28a",IF(C438=41,"Spichernstr. 27",IF(C438=42,"Metzerstr. 17",IF(C438=43,"Neumühlerstr. 35",IF(C438=44,"Neumühlerstr. 37",IF(C438=45,"Neumühlerstr. 39",IF(C438=46,"Neumühlerstr. 41",IF(C438=47,"Mündelheimerstr. 3-5",IF(C438=48,"Mendelsohnstr. 3"))))))))))))))))))))))))))))))))))))))))))))))))</f>
        <v>Pfalzstr. 17</v>
      </c>
      <c r="E438" s="17" t="s">
        <v>766</v>
      </c>
      <c r="F438" s="17" t="s">
        <v>323</v>
      </c>
      <c r="G438" s="18" t="s">
        <v>1188</v>
      </c>
      <c r="H438" s="17" t="s">
        <v>58</v>
      </c>
      <c r="I438" s="17" t="s">
        <v>14</v>
      </c>
      <c r="J438" s="21" t="s">
        <v>14</v>
      </c>
    </row>
    <row r="439" spans="1:10" ht="16" x14ac:dyDescent="0.2">
      <c r="A439" s="16">
        <v>217</v>
      </c>
      <c r="B439" s="34">
        <v>43368</v>
      </c>
      <c r="C439" s="105">
        <v>20</v>
      </c>
      <c r="D439" s="17" t="s">
        <v>100</v>
      </c>
      <c r="E439" s="17" t="s">
        <v>480</v>
      </c>
      <c r="F439" s="17" t="s">
        <v>481</v>
      </c>
      <c r="G439" s="18" t="s">
        <v>536</v>
      </c>
      <c r="H439" s="17" t="s">
        <v>23</v>
      </c>
      <c r="I439" s="21" t="s">
        <v>483</v>
      </c>
      <c r="J439" s="21" t="s">
        <v>483</v>
      </c>
    </row>
    <row r="440" spans="1:10" ht="16" x14ac:dyDescent="0.2">
      <c r="A440" s="16">
        <v>218</v>
      </c>
      <c r="B440" s="35">
        <v>43455</v>
      </c>
      <c r="C440" s="105">
        <v>1</v>
      </c>
      <c r="D440" s="17" t="s">
        <v>390</v>
      </c>
      <c r="E440" s="17" t="s">
        <v>263</v>
      </c>
      <c r="F440" s="17"/>
      <c r="G440" s="18" t="s">
        <v>668</v>
      </c>
      <c r="H440" s="17" t="s">
        <v>13</v>
      </c>
      <c r="I440" s="29" t="s">
        <v>312</v>
      </c>
      <c r="J440" s="29" t="s">
        <v>312</v>
      </c>
    </row>
    <row r="441" spans="1:10" ht="16" x14ac:dyDescent="0.2">
      <c r="A441" s="16">
        <v>218</v>
      </c>
      <c r="B441" s="34">
        <v>43368</v>
      </c>
      <c r="C441" s="105">
        <v>42</v>
      </c>
      <c r="D441" s="17" t="s">
        <v>537</v>
      </c>
      <c r="E441" s="17" t="s">
        <v>538</v>
      </c>
      <c r="F441" s="17"/>
      <c r="G441" s="18" t="s">
        <v>539</v>
      </c>
      <c r="H441" s="17" t="s">
        <v>23</v>
      </c>
      <c r="I441" s="17" t="s">
        <v>540</v>
      </c>
      <c r="J441" s="17" t="s">
        <v>252</v>
      </c>
    </row>
    <row r="442" spans="1:10" x14ac:dyDescent="0.2">
      <c r="A442" s="16">
        <v>219</v>
      </c>
      <c r="B442" s="34">
        <v>43690</v>
      </c>
      <c r="C442" s="105">
        <v>7</v>
      </c>
      <c r="D442" s="17" t="str">
        <f>IF(C442=1,"Roßstr. 9",IF(C442=2,"Pfalzstr. 17",IF(C442=3,"Schlossstr. 19",IF(C442=4,"Neanderstr. 15",IF(C442=5,"Luisenstr. 3",IF(C442=6,"Lindenstr. 267",IF(C442=7,"Engerstr. 3",IF(C442=8,"Schützenstr. 20",IF(C442=9,"Stockkampstr. 47",IF(C442=10,"Driburgerstr. 8",IF(C442=11,"Kölnerstr. 261",IF(C442=12,"Merowingerstr. 17",IF(C442=13,"Borsigstr. 7",IF(C442=14,"Gerresheimer Landstr. 152",IF(C442=15,"Hoppengarten 15",IF(C442=16,"Hoppengarten 17",IF(C442=17,"Könerstr. 215",IF(C442=18,"Kölnerstr. 217",IF(C442=19,"Alte Bachstr. 25",IF(C442=20,"Kranzstr. 103",IF(C442=21,"Broicherdorfstr. 3",IF(C442=22,"Grafenberger Allee 235",IF(C442=23,"Börnestr. 2",IF(C442=24,"Angerbenden 31",IF(C442=25,"Koppelskamp 10",IF(C442=26,"Koppelskamp 12",IF(C442=27,"Koppelskamp 14",IF(C442=28,"Koppelskamp 8",IF(C442=29,"Bismarckstr. 109",IF(C442=30,"Memelstr. 43",IF(C442=31,"Angermunderstr. 30",IF(C442=32,"Koppelskamp 5",IF(C442=33,"Koppelskamp 5a",IF(C442=34,"Koppelskamp 7",IF(C442=35,"Lintorfer Waldstr. 6",IF(C442=36,"Lintorfer Waldstr. 8",IF(C442=37,"Lintorfer Waldstr. 10",IF(C442=38,"Koloniestr. 205",IF(C442=39,"Metzerstr. 28",IF(C442=40,"Metzerstr. 28a",IF(C442=41,"Spichernstr. 27",IF(C442=42,"Metzerstr. 17",IF(C442=43,"Neumühlerstr. 35",IF(C442=44,"Neumühlerstr. 37",IF(C442=45,"Neumühlerstr. 39",IF(C442=46,"Neumühlerstr. 41",IF(C442=47,"Mündelheimerstr. 3-5",IF(C442=48,"Mendelsohnstr. 3"))))))))))))))))))))))))))))))))))))))))))))))))</f>
        <v>Engerstr. 3</v>
      </c>
      <c r="E442" s="17" t="s">
        <v>149</v>
      </c>
      <c r="F442" s="107" t="s">
        <v>17</v>
      </c>
      <c r="G442" s="39" t="s">
        <v>737</v>
      </c>
      <c r="H442" s="17" t="s">
        <v>13</v>
      </c>
      <c r="I442" s="17" t="s">
        <v>411</v>
      </c>
      <c r="J442" s="17" t="s">
        <v>411</v>
      </c>
    </row>
    <row r="443" spans="1:10" ht="16" x14ac:dyDescent="0.2">
      <c r="A443" s="16">
        <v>219</v>
      </c>
      <c r="B443" s="34">
        <v>43374</v>
      </c>
      <c r="C443" s="105">
        <v>38</v>
      </c>
      <c r="D443" s="17" t="s">
        <v>171</v>
      </c>
      <c r="E443" s="17" t="s">
        <v>202</v>
      </c>
      <c r="F443" s="17" t="s">
        <v>541</v>
      </c>
      <c r="G443" s="18" t="s">
        <v>542</v>
      </c>
      <c r="H443" s="17" t="s">
        <v>13</v>
      </c>
      <c r="I443" s="17" t="s">
        <v>286</v>
      </c>
      <c r="J443" s="17" t="s">
        <v>286</v>
      </c>
    </row>
    <row r="444" spans="1:10" ht="16" x14ac:dyDescent="0.2">
      <c r="A444" s="16">
        <v>220</v>
      </c>
      <c r="B444" s="34">
        <v>43690</v>
      </c>
      <c r="C444" s="105">
        <v>20</v>
      </c>
      <c r="D444" s="17" t="str">
        <f>IF(C444=1,"Roßstr. 9",IF(C444=2,"Pfalzstr. 17",IF(C444=3,"Schlossstr. 19",IF(C444=4,"Neanderstr. 15",IF(C444=5,"Luisenstr. 3",IF(C444=6,"Lindenstr. 267",IF(C444=7,"Engerstr. 3",IF(C444=8,"Schützenstr. 20",IF(C444=9,"Stockkampstr. 47",IF(C444=10,"Driburgerstr. 8",IF(C444=11,"Kölnerstr. 261",IF(C444=12,"Merowingerstr. 17",IF(C444=13,"Borsigstr. 7",IF(C444=14,"Gerresheimer Landstr. 152",IF(C444=15,"Hoppengarten 15",IF(C444=16,"Hoppengarten 17",IF(C444=17,"Könerstr. 215",IF(C444=18,"Kölnerstr. 217",IF(C444=19,"Alte Bachstr. 25",IF(C444=20,"Kranzstr. 103",IF(C444=21,"Broicherdorfstr. 3",IF(C444=22,"Grafenberger Allee 235",IF(C444=23,"Börnestr. 2",IF(C444=24,"Angerbenden 31",IF(C444=25,"Koppelskamp 10",IF(C444=26,"Koppelskamp 12",IF(C444=27,"Koppelskamp 14",IF(C444=28,"Koppelskamp 8",IF(C444=29,"Bismarckstr. 109",IF(C444=30,"Memelstr. 43",IF(C444=31,"Angermunderstr. 30",IF(C444=32,"Koppelskamp 5",IF(C444=33,"Koppelskamp 5a",IF(C444=34,"Koppelskamp 7",IF(C444=35,"Lintorfer Waldstr. 6",IF(C444=36,"Lintorfer Waldstr. 8",IF(C444=37,"Lintorfer Waldstr. 10",IF(C444=38,"Koloniestr. 205",IF(C444=39,"Metzerstr. 28",IF(C444=40,"Metzerstr. 28a",IF(C444=41,"Spichernstr. 27",IF(C444=42,"Metzerstr. 17",IF(C444=43,"Neumühlerstr. 35",IF(C444=44,"Neumühlerstr. 37",IF(C444=45,"Neumühlerstr. 39",IF(C444=46,"Neumühlerstr. 41",IF(C444=47,"Mündelheimerstr. 3-5",IF(C444=48,"Mendelsohnstr. 3"))))))))))))))))))))))))))))))))))))))))))))))))</f>
        <v>Kranzstr. 103</v>
      </c>
      <c r="E444" s="17" t="s">
        <v>138</v>
      </c>
      <c r="F444" s="17" t="s">
        <v>102</v>
      </c>
      <c r="G444" s="18" t="s">
        <v>1189</v>
      </c>
      <c r="H444" s="17" t="s">
        <v>13</v>
      </c>
      <c r="I444" s="17" t="s">
        <v>200</v>
      </c>
      <c r="J444" s="17" t="s">
        <v>200</v>
      </c>
    </row>
    <row r="445" spans="1:10" ht="16" x14ac:dyDescent="0.2">
      <c r="A445" s="16">
        <v>220</v>
      </c>
      <c r="B445" s="34">
        <v>43375</v>
      </c>
      <c r="C445" s="105">
        <v>39</v>
      </c>
      <c r="D445" s="17" t="s">
        <v>152</v>
      </c>
      <c r="E445" s="17" t="s">
        <v>273</v>
      </c>
      <c r="F445" s="17"/>
      <c r="G445" s="18" t="s">
        <v>512</v>
      </c>
      <c r="H445" s="17" t="s">
        <v>13</v>
      </c>
      <c r="I445" s="23" t="s">
        <v>543</v>
      </c>
      <c r="J445" s="23" t="s">
        <v>543</v>
      </c>
    </row>
    <row r="446" spans="1:10" ht="16" x14ac:dyDescent="0.2">
      <c r="A446" s="108">
        <v>221</v>
      </c>
      <c r="B446" s="34">
        <v>43375</v>
      </c>
      <c r="C446" s="105">
        <v>8</v>
      </c>
      <c r="D446" s="17" t="s">
        <v>544</v>
      </c>
      <c r="E446" s="17" t="s">
        <v>480</v>
      </c>
      <c r="F446" s="17" t="s">
        <v>545</v>
      </c>
      <c r="G446" s="18" t="s">
        <v>374</v>
      </c>
      <c r="H446" s="17" t="s">
        <v>58</v>
      </c>
      <c r="I446" s="23" t="s">
        <v>546</v>
      </c>
      <c r="J446" s="107" t="s">
        <v>48</v>
      </c>
    </row>
    <row r="447" spans="1:10" ht="16" x14ac:dyDescent="0.2">
      <c r="A447" s="16">
        <v>221</v>
      </c>
      <c r="B447" s="34">
        <v>43691</v>
      </c>
      <c r="C447" s="105">
        <v>37</v>
      </c>
      <c r="D447" s="17" t="str">
        <f>IF(C447=1,"Roßstr. 9",IF(C447=2,"Pfalzstr. 17",IF(C447=3,"Schlossstr. 19",IF(C447=4,"Neanderstr. 15",IF(C447=5,"Luisenstr. 3",IF(C447=6,"Lindenstr. 267",IF(C447=7,"Engerstr. 3",IF(C447=8,"Schützenstr. 20",IF(C447=9,"Stockkampstr. 47",IF(C447=10,"Driburgerstr. 8",IF(C447=11,"Kölnerstr. 261",IF(C447=12,"Merowingerstr. 17",IF(C447=13,"Borsigstr. 7",IF(C447=14,"Gerresheimer Landstr. 152",IF(C447=15,"Hoppengarten 15",IF(C447=16,"Hoppengarten 17",IF(C447=17,"Könerstr. 215",IF(C447=18,"Kölnerstr. 217",IF(C447=19,"Alte Bachstr. 25",IF(C447=20,"Kranzstr. 103",IF(C447=21,"Broicherdorfstr. 3",IF(C447=22,"Grafenberger Allee 235",IF(C447=23,"Börnestr. 2",IF(C447=24,"Angerbenden 31",IF(C447=25,"Koppelskamp 10",IF(C447=26,"Koppelskamp 12",IF(C447=27,"Koppelskamp 14",IF(C447=28,"Koppelskamp 8",IF(C447=29,"Bismarckstr. 109",IF(C447=30,"Memelstr. 43",IF(C447=31,"Angermunderstr. 30",IF(C447=32,"Koppelskamp 5",IF(C447=33,"Koppelskamp 5a",IF(C447=34,"Koppelskamp 7",IF(C447=35,"Lintorfer Waldstr. 6",IF(C447=36,"Lintorfer Waldstr. 8",IF(C447=37,"Lintorfer Waldstr. 10",IF(C447=38,"Koloniestr. 205",IF(C447=39,"Metzerstr. 28",IF(C447=40,"Metzerstr. 28a",IF(C447=41,"Spichernstr. 27",IF(C447=42,"Metzerstr. 17",IF(C447=43,"Neumühlerstr. 35",IF(C447=44,"Neumühlerstr. 37",IF(C447=45,"Neumühlerstr. 39",IF(C447=46,"Neumühlerstr. 41",IF(C447=47,"Mündelheimerstr. 3-5",IF(C447=48,"Mendelsohnstr. 3"))))))))))))))))))))))))))))))))))))))))))))))))</f>
        <v>Lintorfer Waldstr. 10</v>
      </c>
      <c r="E447" s="17" t="s">
        <v>358</v>
      </c>
      <c r="F447" s="17" t="s">
        <v>302</v>
      </c>
      <c r="G447" s="18" t="s">
        <v>1190</v>
      </c>
      <c r="H447" s="17" t="s">
        <v>13</v>
      </c>
      <c r="I447" s="17" t="s">
        <v>48</v>
      </c>
      <c r="J447" s="17" t="s">
        <v>48</v>
      </c>
    </row>
    <row r="448" spans="1:10" ht="16" x14ac:dyDescent="0.2">
      <c r="A448" s="16">
        <v>222</v>
      </c>
      <c r="B448" s="34">
        <v>43683</v>
      </c>
      <c r="C448" s="105">
        <v>19</v>
      </c>
      <c r="D448" s="17" t="str">
        <f>IF(C448=1,"Roßstr. 9",IF(C448=2,"Pfalzstr. 17",IF(C448=3,"Schlossstr. 19",IF(C448=4,"Neanderstr. 15",IF(C448=5,"Luisenstr. 3",IF(C448=6,"Lindenstr. 267",IF(C448=7,"Engerstr. 3",IF(C448=8,"Schützenstr. 20",IF(C448=9,"Stockkampstr. 47",IF(C448=10,"Driburgerstr. 8",IF(C448=11,"Kölnerstr. 261",IF(C448=12,"Merowingerstr. 17",IF(C448=13,"Borsigstr. 7",IF(C448=14,"Gerresheimer Landstr. 152",IF(C448=15,"Hoppengarten 15",IF(C448=16,"Hoppengarten 17",IF(C448=17,"Könerstr. 215",IF(C448=18,"Kölnerstr. 217",IF(C448=19,"Alte Bachstr. 25",IF(C448=20,"Kranzstr. 103",IF(C448=21,"Broicherdorfstr. 3",IF(C448=22,"Grafenberger Allee 235",IF(C448=23,"Börnestr. 2",IF(C448=24,"Angerbenden 31",IF(C448=25,"Koppelskamp 10",IF(C448=26,"Koppelskamp 12",IF(C448=27,"Koppelskamp 14",IF(C448=28,"Koppelskamp 8",IF(C448=29,"Bismarckstr. 109",IF(C448=30,"Memelstr. 43",IF(C448=31,"Angermunderstr. 30",IF(C448=32,"Koppelskamp 5",IF(C448=33,"Koppelskamp 5a",IF(C448=34,"Koppelskamp 7",IF(C448=35,"Lintorfer Waldstr. 6",IF(C448=36,"Lintorfer Waldstr. 8",IF(C448=37,"Lintorfer Waldstr. 10",IF(C448=38,"Koloniestr. 205",IF(C448=39,"Metzerstr. 28",IF(C448=40,"Metzerstr. 28a",IF(C448=41,"Spichernstr. 27",IF(C448=42,"Metzerstr. 17",IF(C448=43,"Neumühlerstr. 35",IF(C448=44,"Neumühlerstr. 37",IF(C448=45,"Neumühlerstr. 39",IF(C448=46,"Neumühlerstr. 41",IF(C448=47,"Mündelheimerstr. 3-5",IF(C448=48,"Mendelsohnstr. 3"))))))))))))))))))))))))))))))))))))))))))))))))</f>
        <v>Alte Bachstr. 25</v>
      </c>
      <c r="E448" s="17" t="s">
        <v>1191</v>
      </c>
      <c r="F448" s="17" t="s">
        <v>1192</v>
      </c>
      <c r="G448" s="18" t="s">
        <v>1193</v>
      </c>
      <c r="H448" s="17" t="s">
        <v>13</v>
      </c>
      <c r="I448" s="17" t="s">
        <v>19</v>
      </c>
      <c r="J448" s="17" t="s">
        <v>19</v>
      </c>
    </row>
    <row r="449" spans="1:10" ht="16" x14ac:dyDescent="0.2">
      <c r="A449" s="16">
        <v>222</v>
      </c>
      <c r="B449" s="34">
        <v>43377</v>
      </c>
      <c r="C449" s="105">
        <v>4</v>
      </c>
      <c r="D449" s="17" t="s">
        <v>168</v>
      </c>
      <c r="E449" s="17" t="s">
        <v>32</v>
      </c>
      <c r="F449" s="17" t="s">
        <v>242</v>
      </c>
      <c r="G449" s="18" t="s">
        <v>542</v>
      </c>
      <c r="H449" s="17" t="s">
        <v>13</v>
      </c>
      <c r="I449" s="17" t="s">
        <v>181</v>
      </c>
      <c r="J449" s="17" t="s">
        <v>181</v>
      </c>
    </row>
    <row r="450" spans="1:10" ht="16" x14ac:dyDescent="0.2">
      <c r="A450" s="16">
        <v>223</v>
      </c>
      <c r="B450" s="34">
        <v>43378</v>
      </c>
      <c r="C450" s="105">
        <v>21</v>
      </c>
      <c r="D450" s="17" t="s">
        <v>31</v>
      </c>
      <c r="E450" s="17" t="s">
        <v>547</v>
      </c>
      <c r="F450" s="17" t="s">
        <v>548</v>
      </c>
      <c r="G450" s="18" t="s">
        <v>549</v>
      </c>
      <c r="H450" s="17" t="s">
        <v>13</v>
      </c>
      <c r="I450" s="17" t="s">
        <v>14</v>
      </c>
      <c r="J450" s="17" t="s">
        <v>14</v>
      </c>
    </row>
    <row r="451" spans="1:10" ht="16" x14ac:dyDescent="0.2">
      <c r="A451" s="16">
        <v>223</v>
      </c>
      <c r="B451" s="34">
        <v>43693</v>
      </c>
      <c r="C451" s="105">
        <v>7</v>
      </c>
      <c r="D451" s="17" t="str">
        <f>IF(C451=1,"Roßstr. 9",IF(C451=2,"Pfalzstr. 17",IF(C451=3,"Schlossstr. 19",IF(C451=4,"Neanderstr. 15",IF(C451=5,"Luisenstr. 3",IF(C451=6,"Lindenstr. 267",IF(C451=7,"Engerstr. 3",IF(C451=8,"Schützenstr. 20",IF(C451=9,"Stockkampstr. 47",IF(C451=10,"Driburgerstr. 8",IF(C451=11,"Kölnerstr. 261",IF(C451=12,"Merowingerstr. 17",IF(C451=13,"Borsigstr. 7",IF(C451=14,"Gerresheimer Landstr. 152",IF(C451=15,"Hoppengarten 15",IF(C451=16,"Hoppengarten 17",IF(C451=17,"Könerstr. 215",IF(C451=18,"Kölnerstr. 217",IF(C451=19,"Alte Bachstr. 25",IF(C451=20,"Kranzstr. 103",IF(C451=21,"Broicherdorfstr. 3",IF(C451=22,"Grafenberger Allee 235",IF(C451=23,"Börnestr. 2",IF(C451=24,"Angerbenden 31",IF(C451=25,"Koppelskamp 10",IF(C451=26,"Koppelskamp 12",IF(C451=27,"Koppelskamp 14",IF(C451=28,"Koppelskamp 8",IF(C451=29,"Bismarckstr. 109",IF(C451=30,"Memelstr. 43",IF(C451=31,"Angermunderstr. 30",IF(C451=32,"Koppelskamp 5",IF(C451=33,"Koppelskamp 5a",IF(C451=34,"Koppelskamp 7",IF(C451=35,"Lintorfer Waldstr. 6",IF(C451=36,"Lintorfer Waldstr. 8",IF(C451=37,"Lintorfer Waldstr. 10",IF(C451=38,"Koloniestr. 205",IF(C451=39,"Metzerstr. 28",IF(C451=40,"Metzerstr. 28a",IF(C451=41,"Spichernstr. 27",IF(C451=42,"Metzerstr. 17",IF(C451=43,"Neumühlerstr. 35",IF(C451=44,"Neumühlerstr. 37",IF(C451=45,"Neumühlerstr. 39",IF(C451=46,"Neumühlerstr. 41",IF(C451=47,"Mündelheimerstr. 3-5",IF(C451=48,"Mendelsohnstr. 3"))))))))))))))))))))))))))))))))))))))))))))))))</f>
        <v>Engerstr. 3</v>
      </c>
      <c r="E451" s="17" t="s">
        <v>344</v>
      </c>
      <c r="F451" s="17" t="s">
        <v>1194</v>
      </c>
      <c r="G451" s="18" t="s">
        <v>1195</v>
      </c>
      <c r="H451" s="17" t="s">
        <v>13</v>
      </c>
      <c r="I451" s="17" t="s">
        <v>48</v>
      </c>
      <c r="J451" s="17" t="s">
        <v>48</v>
      </c>
    </row>
    <row r="452" spans="1:10" ht="48" x14ac:dyDescent="0.2">
      <c r="A452" s="16">
        <v>224</v>
      </c>
      <c r="B452" s="34">
        <v>43378</v>
      </c>
      <c r="C452" s="105">
        <v>13</v>
      </c>
      <c r="D452" s="17" t="s">
        <v>238</v>
      </c>
      <c r="E452" s="17" t="s">
        <v>27</v>
      </c>
      <c r="F452" s="17" t="s">
        <v>550</v>
      </c>
      <c r="G452" s="18" t="s">
        <v>551</v>
      </c>
      <c r="H452" s="17" t="s">
        <v>23</v>
      </c>
      <c r="I452" s="38" t="s">
        <v>306</v>
      </c>
      <c r="J452" s="38" t="s">
        <v>306</v>
      </c>
    </row>
    <row r="453" spans="1:10" ht="16" x14ac:dyDescent="0.2">
      <c r="A453" s="16">
        <v>224</v>
      </c>
      <c r="B453" s="34">
        <v>43696</v>
      </c>
      <c r="C453" s="105">
        <v>7</v>
      </c>
      <c r="D453" s="17" t="str">
        <f>IF(C453=1,"Roßstr. 9",IF(C453=2,"Pfalzstr. 17",IF(C453=3,"Schlossstr. 19",IF(C453=4,"Neanderstr. 15",IF(C453=5,"Luisenstr. 3",IF(C453=6,"Lindenstr. 267",IF(C453=7,"Engerstr. 3",IF(C453=8,"Schützenstr. 20",IF(C453=9,"Stockkampstr. 47",IF(C453=10,"Driburgerstr. 8",IF(C453=11,"Kölnerstr. 261",IF(C453=12,"Merowingerstr. 17",IF(C453=13,"Borsigstr. 7",IF(C453=14,"Gerresheimer Landstr. 152",IF(C453=15,"Hoppengarten 15",IF(C453=16,"Hoppengarten 17",IF(C453=17,"Könerstr. 215",IF(C453=18,"Kölnerstr. 217",IF(C453=19,"Alte Bachstr. 25",IF(C453=20,"Kranzstr. 103",IF(C453=21,"Broicherdorfstr. 3",IF(C453=22,"Grafenberger Allee 235",IF(C453=23,"Börnestr. 2",IF(C453=24,"Angerbenden 31",IF(C453=25,"Koppelskamp 10",IF(C453=26,"Koppelskamp 12",IF(C453=27,"Koppelskamp 14",IF(C453=28,"Koppelskamp 8",IF(C453=29,"Bismarckstr. 109",IF(C453=30,"Memelstr. 43",IF(C453=31,"Angermunderstr. 30",IF(C453=32,"Koppelskamp 5",IF(C453=33,"Koppelskamp 5a",IF(C453=34,"Koppelskamp 7",IF(C453=35,"Lintorfer Waldstr. 6",IF(C453=36,"Lintorfer Waldstr. 8",IF(C453=37,"Lintorfer Waldstr. 10",IF(C453=38,"Koloniestr. 205",IF(C453=39,"Metzerstr. 28",IF(C453=40,"Metzerstr. 28a",IF(C453=41,"Spichernstr. 27",IF(C453=42,"Metzerstr. 17",IF(C453=43,"Neumühlerstr. 35",IF(C453=44,"Neumühlerstr. 37",IF(C453=45,"Neumühlerstr. 39",IF(C453=46,"Neumühlerstr. 41",IF(C453=47,"Mündelheimerstr. 3-5",IF(C453=48,"Mendelsohnstr. 3"))))))))))))))))))))))))))))))))))))))))))))))))</f>
        <v>Engerstr. 3</v>
      </c>
      <c r="E453" s="17" t="s">
        <v>1196</v>
      </c>
      <c r="F453" s="17" t="s">
        <v>612</v>
      </c>
      <c r="G453" s="18" t="s">
        <v>1197</v>
      </c>
      <c r="H453" s="17" t="s">
        <v>13</v>
      </c>
      <c r="I453" s="17" t="s">
        <v>181</v>
      </c>
      <c r="J453" s="17" t="s">
        <v>181</v>
      </c>
    </row>
    <row r="454" spans="1:10" ht="16" x14ac:dyDescent="0.2">
      <c r="A454" s="16">
        <v>225</v>
      </c>
      <c r="B454" s="34">
        <v>43698</v>
      </c>
      <c r="C454" s="105">
        <v>21</v>
      </c>
      <c r="D454" s="17" t="str">
        <f>IF(C454=1,"Roßstr. 9",IF(C454=2,"Pfalzstr. 17",IF(C454=3,"Schlossstr. 19",IF(C454=4,"Neanderstr. 15",IF(C454=5,"Luisenstr. 3",IF(C454=6,"Lindenstr. 267",IF(C454=7,"Engerstr. 3",IF(C454=8,"Schützenstr. 20",IF(C454=9,"Stockkampstr. 47",IF(C454=10,"Driburgerstr. 8",IF(C454=11,"Kölnerstr. 261",IF(C454=12,"Merowingerstr. 17",IF(C454=13,"Borsigstr. 7",IF(C454=14,"Gerresheimer Landstr. 152",IF(C454=15,"Hoppengarten 15",IF(C454=16,"Hoppengarten 17",IF(C454=17,"Könerstr. 215",IF(C454=18,"Kölnerstr. 217",IF(C454=19,"Alte Bachstr. 25",IF(C454=20,"Kranzstr. 103",IF(C454=21,"Broicherdorfstr. 3",IF(C454=22,"Grafenberger Allee 235",IF(C454=23,"Börnestr. 2",IF(C454=24,"Angerbenden 31",IF(C454=25,"Koppelskamp 10",IF(C454=26,"Koppelskamp 12",IF(C454=27,"Koppelskamp 14",IF(C454=28,"Koppelskamp 8",IF(C454=29,"Bismarckstr. 109",IF(C454=30,"Memelstr. 43",IF(C454=31,"Angermunderstr. 30",IF(C454=32,"Koppelskamp 5",IF(C454=33,"Koppelskamp 5a",IF(C454=34,"Koppelskamp 7",IF(C454=35,"Lintorfer Waldstr. 6",IF(C454=36,"Lintorfer Waldstr. 8",IF(C454=37,"Lintorfer Waldstr. 10",IF(C454=38,"Koloniestr. 205",IF(C454=39,"Metzerstr. 28",IF(C454=40,"Metzerstr. 28a",IF(C454=41,"Spichernstr. 27",IF(C454=42,"Metzerstr. 17",IF(C454=43,"Neumühlerstr. 35",IF(C454=44,"Neumühlerstr. 37",IF(C454=45,"Neumühlerstr. 39",IF(C454=46,"Neumühlerstr. 41",IF(C454=47,"Mündelheimerstr. 3-5",IF(C454=48,"Mendelsohnstr. 3"))))))))))))))))))))))))))))))))))))))))))))))))</f>
        <v>Broicherdorfstr. 3</v>
      </c>
      <c r="E454" s="17" t="s">
        <v>693</v>
      </c>
      <c r="F454" s="17" t="s">
        <v>17</v>
      </c>
      <c r="G454" s="18" t="s">
        <v>1198</v>
      </c>
      <c r="H454" s="17" t="s">
        <v>13</v>
      </c>
      <c r="I454" s="17" t="s">
        <v>914</v>
      </c>
      <c r="J454" s="17" t="s">
        <v>914</v>
      </c>
    </row>
    <row r="455" spans="1:10" ht="16" x14ac:dyDescent="0.2">
      <c r="A455" s="16">
        <v>225</v>
      </c>
      <c r="B455" s="34">
        <v>43378</v>
      </c>
      <c r="C455" s="105">
        <v>15</v>
      </c>
      <c r="D455" s="17" t="s">
        <v>398</v>
      </c>
      <c r="E455" s="17" t="s">
        <v>86</v>
      </c>
      <c r="F455" s="17" t="s">
        <v>552</v>
      </c>
      <c r="G455" s="18" t="s">
        <v>553</v>
      </c>
      <c r="H455" s="17" t="s">
        <v>13</v>
      </c>
      <c r="I455" s="17" t="s">
        <v>181</v>
      </c>
      <c r="J455" s="17" t="s">
        <v>181</v>
      </c>
    </row>
    <row r="456" spans="1:10" ht="16" x14ac:dyDescent="0.2">
      <c r="A456" s="16">
        <v>226</v>
      </c>
      <c r="B456" s="34">
        <v>43378</v>
      </c>
      <c r="C456" s="105">
        <v>37</v>
      </c>
      <c r="D456" s="17" t="s">
        <v>182</v>
      </c>
      <c r="E456" s="17" t="s">
        <v>10</v>
      </c>
      <c r="F456" s="17" t="s">
        <v>184</v>
      </c>
      <c r="G456" s="18" t="s">
        <v>554</v>
      </c>
      <c r="H456" s="17" t="s">
        <v>13</v>
      </c>
      <c r="I456" s="17" t="s">
        <v>181</v>
      </c>
      <c r="J456" s="17" t="s">
        <v>181</v>
      </c>
    </row>
    <row r="457" spans="1:10" ht="16" x14ac:dyDescent="0.2">
      <c r="A457" s="16">
        <v>226</v>
      </c>
      <c r="B457" s="34">
        <v>43703</v>
      </c>
      <c r="C457" s="105">
        <v>27</v>
      </c>
      <c r="D457" s="17" t="str">
        <f>IF(C457=1,"Roßstr. 9",IF(C457=2,"Pfalzstr. 17",IF(C457=3,"Schlossstr. 19",IF(C457=4,"Neanderstr. 15",IF(C457=5,"Luisenstr. 3",IF(C457=6,"Lindenstr. 267",IF(C457=7,"Engerstr. 3",IF(C457=8,"Schützenstr. 20",IF(C457=9,"Stockkampstr. 47",IF(C457=10,"Driburgerstr. 8",IF(C457=11,"Kölnerstr. 261",IF(C457=12,"Merowingerstr. 17",IF(C457=13,"Borsigstr. 7",IF(C457=14,"Gerresheimer Landstr. 152",IF(C457=15,"Hoppengarten 15",IF(C457=16,"Hoppengarten 17",IF(C457=17,"Könerstr. 215",IF(C457=18,"Kölnerstr. 217",IF(C457=19,"Alte Bachstr. 25",IF(C457=20,"Kranzstr. 103",IF(C457=21,"Broicherdorfstr. 3",IF(C457=22,"Grafenberger Allee 235",IF(C457=23,"Börnestr. 2",IF(C457=24,"Angerbenden 31",IF(C457=25,"Koppelskamp 10",IF(C457=26,"Koppelskamp 12",IF(C457=27,"Koppelskamp 14",IF(C457=28,"Koppelskamp 8",IF(C457=29,"Bismarckstr. 109",IF(C457=30,"Memelstr. 43",IF(C457=31,"Angermunderstr. 30",IF(C457=32,"Koppelskamp 5",IF(C457=33,"Koppelskamp 5a",IF(C457=34,"Koppelskamp 7",IF(C457=35,"Lintorfer Waldstr. 6",IF(C457=36,"Lintorfer Waldstr. 8",IF(C457=37,"Lintorfer Waldstr. 10",IF(C457=38,"Koloniestr. 205",IF(C457=39,"Metzerstr. 28",IF(C457=40,"Metzerstr. 28a",IF(C457=41,"Spichernstr. 27",IF(C457=42,"Metzerstr. 17",IF(C457=43,"Neumühlerstr. 35",IF(C457=44,"Neumühlerstr. 37",IF(C457=45,"Neumühlerstr. 39",IF(C457=46,"Neumühlerstr. 41",IF(C457=47,"Mündelheimerstr. 3-5",IF(C457=48,"Mendelsohnstr. 3"))))))))))))))))))))))))))))))))))))))))))))))))</f>
        <v>Koppelskamp 14</v>
      </c>
      <c r="E457" s="17" t="s">
        <v>766</v>
      </c>
      <c r="F457" s="17" t="s">
        <v>1199</v>
      </c>
      <c r="G457" s="18" t="s">
        <v>1200</v>
      </c>
      <c r="H457" s="17" t="s">
        <v>58</v>
      </c>
      <c r="I457" s="17" t="s">
        <v>329</v>
      </c>
      <c r="J457" s="21" t="s">
        <v>329</v>
      </c>
    </row>
    <row r="458" spans="1:10" ht="16" x14ac:dyDescent="0.2">
      <c r="A458" s="16">
        <v>227</v>
      </c>
      <c r="B458" s="34">
        <v>43381</v>
      </c>
      <c r="C458" s="105">
        <v>10</v>
      </c>
      <c r="D458" s="17" t="s">
        <v>9</v>
      </c>
      <c r="E458" s="17" t="s">
        <v>555</v>
      </c>
      <c r="F458" s="17"/>
      <c r="G458" s="18" t="s">
        <v>556</v>
      </c>
      <c r="H458" s="17" t="s">
        <v>58</v>
      </c>
      <c r="I458" s="17" t="s">
        <v>14</v>
      </c>
      <c r="J458" s="17" t="s">
        <v>14</v>
      </c>
    </row>
    <row r="459" spans="1:10" ht="16" x14ac:dyDescent="0.2">
      <c r="A459" s="16">
        <v>227</v>
      </c>
      <c r="B459" s="34">
        <v>43704</v>
      </c>
      <c r="C459" s="105">
        <v>6</v>
      </c>
      <c r="D459" s="17" t="str">
        <f>IF(C459=1,"Roßstr. 9",IF(C459=2,"Pfalzstr. 17",IF(C459=3,"Schlossstr. 19",IF(C459=4,"Neanderstr. 15",IF(C459=5,"Luisenstr. 3",IF(C459=6,"Lindenstr. 267",IF(C459=7,"Engerstr. 3",IF(C459=8,"Schützenstr. 20",IF(C459=9,"Stockkampstr. 47",IF(C459=10,"Driburgerstr. 8",IF(C459=11,"Kölnerstr. 261",IF(C459=12,"Merowingerstr. 17",IF(C459=13,"Borsigstr. 7",IF(C459=14,"Gerresheimer Landstr. 152",IF(C459=15,"Hoppengarten 15",IF(C459=16,"Hoppengarten 17",IF(C459=17,"Könerstr. 215",IF(C459=18,"Kölnerstr. 217",IF(C459=19,"Alte Bachstr. 25",IF(C459=20,"Kranzstr. 103",IF(C459=21,"Broicherdorfstr. 3",IF(C459=22,"Grafenberger Allee 235",IF(C459=23,"Börnestr. 2",IF(C459=24,"Angerbenden 31",IF(C459=25,"Koppelskamp 10",IF(C459=26,"Koppelskamp 12",IF(C459=27,"Koppelskamp 14",IF(C459=28,"Koppelskamp 8",IF(C459=29,"Bismarckstr. 109",IF(C459=30,"Memelstr. 43",IF(C459=31,"Angermunderstr. 30",IF(C459=32,"Koppelskamp 5",IF(C459=33,"Koppelskamp 5a",IF(C459=34,"Koppelskamp 7",IF(C459=35,"Lintorfer Waldstr. 6",IF(C459=36,"Lintorfer Waldstr. 8",IF(C459=37,"Lintorfer Waldstr. 10",IF(C459=38,"Koloniestr. 205",IF(C459=39,"Metzerstr. 28",IF(C459=40,"Metzerstr. 28a",IF(C459=41,"Spichernstr. 27",IF(C459=42,"Metzerstr. 17",IF(C459=43,"Neumühlerstr. 35",IF(C459=44,"Neumühlerstr. 37",IF(C459=45,"Neumühlerstr. 39",IF(C459=46,"Neumühlerstr. 41",IF(C459=47,"Mündelheimerstr. 3-5",IF(C459=48,"Mendelsohnstr. 3"))))))))))))))))))))))))))))))))))))))))))))))))</f>
        <v>Lindenstr. 267</v>
      </c>
      <c r="E459" s="17" t="s">
        <v>1201</v>
      </c>
      <c r="F459" s="17"/>
      <c r="G459" s="62" t="s">
        <v>1202</v>
      </c>
      <c r="H459" s="17" t="s">
        <v>13</v>
      </c>
      <c r="I459" s="17" t="s">
        <v>932</v>
      </c>
      <c r="J459" s="17" t="s">
        <v>932</v>
      </c>
    </row>
    <row r="460" spans="1:10" ht="16" x14ac:dyDescent="0.2">
      <c r="A460" s="16">
        <v>228</v>
      </c>
      <c r="B460" s="34">
        <v>43382</v>
      </c>
      <c r="C460" s="105">
        <v>18</v>
      </c>
      <c r="D460" s="17" t="s">
        <v>343</v>
      </c>
      <c r="E460" s="17" t="s">
        <v>149</v>
      </c>
      <c r="F460" s="17" t="s">
        <v>209</v>
      </c>
      <c r="G460" s="18" t="s">
        <v>557</v>
      </c>
      <c r="H460" s="17" t="s">
        <v>13</v>
      </c>
      <c r="I460" s="17" t="s">
        <v>119</v>
      </c>
      <c r="J460" s="17" t="s">
        <v>119</v>
      </c>
    </row>
    <row r="461" spans="1:10" ht="16" x14ac:dyDescent="0.2">
      <c r="A461" s="16">
        <v>228</v>
      </c>
      <c r="B461" s="34">
        <v>43705</v>
      </c>
      <c r="C461" s="105">
        <v>19</v>
      </c>
      <c r="D461" s="17" t="str">
        <f>IF(C461=1,"Roßstr. 9",IF(C461=2,"Pfalzstr. 17",IF(C461=3,"Schlossstr. 19",IF(C461=4,"Neanderstr. 15",IF(C461=5,"Luisenstr. 3",IF(C461=6,"Lindenstr. 267",IF(C461=7,"Engerstr. 3",IF(C461=8,"Schützenstr. 20",IF(C461=9,"Stockkampstr. 47",IF(C461=10,"Driburgerstr. 8",IF(C461=11,"Kölnerstr. 261",IF(C461=12,"Merowingerstr. 17",IF(C461=13,"Borsigstr. 7",IF(C461=14,"Gerresheimer Landstr. 152",IF(C461=15,"Hoppengarten 15",IF(C461=16,"Hoppengarten 17",IF(C461=17,"Könerstr. 215",IF(C461=18,"Kölnerstr. 217",IF(C461=19,"Alte Bachstr. 25",IF(C461=20,"Kranzstr. 103",IF(C461=21,"Broicherdorfstr. 3",IF(C461=22,"Grafenberger Allee 235",IF(C461=23,"Börnestr. 2",IF(C461=24,"Angerbenden 31",IF(C461=25,"Koppelskamp 10",IF(C461=26,"Koppelskamp 12",IF(C461=27,"Koppelskamp 14",IF(C461=28,"Koppelskamp 8",IF(C461=29,"Bismarckstr. 109",IF(C461=30,"Memelstr. 43",IF(C461=31,"Angermunderstr. 30",IF(C461=32,"Koppelskamp 5",IF(C461=33,"Koppelskamp 5a",IF(C461=34,"Koppelskamp 7",IF(C461=35,"Lintorfer Waldstr. 6",IF(C461=36,"Lintorfer Waldstr. 8",IF(C461=37,"Lintorfer Waldstr. 10",IF(C461=38,"Koloniestr. 205",IF(C461=39,"Metzerstr. 28",IF(C461=40,"Metzerstr. 28a",IF(C461=41,"Spichernstr. 27",IF(C461=42,"Metzerstr. 17",IF(C461=43,"Neumühlerstr. 35",IF(C461=44,"Neumühlerstr. 37",IF(C461=45,"Neumühlerstr. 39",IF(C461=46,"Neumühlerstr. 41",IF(C461=47,"Mündelheimerstr. 3-5",IF(C461=48,"Mendelsohnstr. 3"))))))))))))))))))))))))))))))))))))))))))))))))</f>
        <v>Alte Bachstr. 25</v>
      </c>
      <c r="E461" s="17" t="s">
        <v>1203</v>
      </c>
      <c r="F461" s="17" t="s">
        <v>1204</v>
      </c>
      <c r="G461" s="18" t="s">
        <v>61</v>
      </c>
      <c r="H461" s="17" t="s">
        <v>23</v>
      </c>
      <c r="I461" s="17" t="s">
        <v>14</v>
      </c>
      <c r="J461" s="21" t="s">
        <v>252</v>
      </c>
    </row>
    <row r="462" spans="1:10" ht="16" x14ac:dyDescent="0.2">
      <c r="A462" s="16">
        <v>229</v>
      </c>
      <c r="B462" s="34">
        <v>43382</v>
      </c>
      <c r="C462" s="105">
        <v>47</v>
      </c>
      <c r="D462" s="17" t="s">
        <v>228</v>
      </c>
      <c r="E462" s="17" t="s">
        <v>86</v>
      </c>
      <c r="F462" s="17" t="s">
        <v>558</v>
      </c>
      <c r="G462" s="18" t="s">
        <v>559</v>
      </c>
      <c r="H462" s="17" t="s">
        <v>13</v>
      </c>
      <c r="I462" s="58" t="s">
        <v>19</v>
      </c>
      <c r="J462" s="58" t="s">
        <v>19</v>
      </c>
    </row>
    <row r="463" spans="1:10" ht="16" x14ac:dyDescent="0.2">
      <c r="A463" s="16">
        <v>229</v>
      </c>
      <c r="B463" s="34">
        <v>43705</v>
      </c>
      <c r="C463" s="105">
        <v>2</v>
      </c>
      <c r="D463" s="17" t="str">
        <f>IF(C463=1,"Roßstr. 9",IF(C463=2,"Pfalzstr. 17",IF(C463=3,"Schlossstr. 19",IF(C463=4,"Neanderstr. 15",IF(C463=5,"Luisenstr. 3",IF(C463=6,"Lindenstr. 267",IF(C463=7,"Engerstr. 3",IF(C463=8,"Schützenstr. 20",IF(C463=9,"Stockkampstr. 47",IF(C463=10,"Driburgerstr. 8",IF(C463=11,"Kölnerstr. 261",IF(C463=12,"Merowingerstr. 17",IF(C463=13,"Borsigstr. 7",IF(C463=14,"Gerresheimer Landstr. 152",IF(C463=15,"Hoppengarten 15",IF(C463=16,"Hoppengarten 17",IF(C463=17,"Könerstr. 215",IF(C463=18,"Kölnerstr. 217",IF(C463=19,"Alte Bachstr. 25",IF(C463=20,"Kranzstr. 103",IF(C463=21,"Broicherdorfstr. 3",IF(C463=22,"Grafenberger Allee 235",IF(C463=23,"Börnestr. 2",IF(C463=24,"Angerbenden 31",IF(C463=25,"Koppelskamp 10",IF(C463=26,"Koppelskamp 12",IF(C463=27,"Koppelskamp 14",IF(C463=28,"Koppelskamp 8",IF(C463=29,"Bismarckstr. 109",IF(C463=30,"Memelstr. 43",IF(C463=31,"Angermunderstr. 30",IF(C463=32,"Koppelskamp 5",IF(C463=33,"Koppelskamp 5a",IF(C463=34,"Koppelskamp 7",IF(C463=35,"Lintorfer Waldstr. 6",IF(C463=36,"Lintorfer Waldstr. 8",IF(C463=37,"Lintorfer Waldstr. 10",IF(C463=38,"Koloniestr. 205",IF(C463=39,"Metzerstr. 28",IF(C463=40,"Metzerstr. 28a",IF(C463=41,"Spichernstr. 27",IF(C463=42,"Metzerstr. 17",IF(C463=43,"Neumühlerstr. 35",IF(C463=44,"Neumühlerstr. 37",IF(C463=45,"Neumühlerstr. 39",IF(C463=46,"Neumühlerstr. 41",IF(C463=47,"Mündelheimerstr. 3-5",IF(C463=48,"Mendelsohnstr. 3"))))))))))))))))))))))))))))))))))))))))))))))))</f>
        <v>Pfalzstr. 17</v>
      </c>
      <c r="E463" s="17" t="s">
        <v>1205</v>
      </c>
      <c r="F463" s="17" t="s">
        <v>1009</v>
      </c>
      <c r="G463" s="18" t="s">
        <v>1206</v>
      </c>
      <c r="H463" s="17" t="s">
        <v>58</v>
      </c>
      <c r="I463" s="17" t="s">
        <v>119</v>
      </c>
      <c r="J463" s="17" t="s">
        <v>119</v>
      </c>
    </row>
    <row r="464" spans="1:10" ht="32" x14ac:dyDescent="0.2">
      <c r="A464" s="16">
        <v>230</v>
      </c>
      <c r="B464" s="34">
        <v>43706</v>
      </c>
      <c r="C464" s="105">
        <v>28</v>
      </c>
      <c r="D464" s="17" t="str">
        <f>IF(C464=1,"Roßstr. 9",IF(C464=2,"Pfalzstr. 17",IF(C464=3,"Schlossstr. 19",IF(C464=4,"Neanderstr. 15",IF(C464=5,"Luisenstr. 3",IF(C464=6,"Lindenstr. 267",IF(C464=7,"Engerstr. 3",IF(C464=8,"Schützenstr. 20",IF(C464=9,"Stockkampstr. 47",IF(C464=10,"Driburgerstr. 8",IF(C464=11,"Kölnerstr. 261",IF(C464=12,"Merowingerstr. 17",IF(C464=13,"Borsigstr. 7",IF(C464=14,"Gerresheimer Landstr. 152",IF(C464=15,"Hoppengarten 15",IF(C464=16,"Hoppengarten 17",IF(C464=17,"Könerstr. 215",IF(C464=18,"Kölnerstr. 217",IF(C464=19,"Alte Bachstr. 25",IF(C464=20,"Kranzstr. 103",IF(C464=21,"Broicherdorfstr. 3",IF(C464=22,"Grafenberger Allee 235",IF(C464=23,"Börnestr. 2",IF(C464=24,"Angerbenden 31",IF(C464=25,"Koppelskamp 10",IF(C464=26,"Koppelskamp 12",IF(C464=27,"Koppelskamp 14",IF(C464=28,"Koppelskamp 8",IF(C464=29,"Bismarckstr. 109",IF(C464=30,"Memelstr. 43",IF(C464=31,"Angermunderstr. 30",IF(C464=32,"Koppelskamp 5",IF(C464=33,"Koppelskamp 5a",IF(C464=34,"Koppelskamp 7",IF(C464=35,"Lintorfer Waldstr. 6",IF(C464=36,"Lintorfer Waldstr. 8",IF(C464=37,"Lintorfer Waldstr. 10",IF(C464=38,"Koloniestr. 205",IF(C464=39,"Metzerstr. 28",IF(C464=40,"Metzerstr. 28a",IF(C464=41,"Spichernstr. 27",IF(C464=42,"Metzerstr. 17",IF(C464=43,"Neumühlerstr. 35",IF(C464=44,"Neumühlerstr. 37",IF(C464=45,"Neumühlerstr. 39",IF(C464=46,"Neumühlerstr. 41",IF(C464=47,"Mündelheimerstr. 3-5",IF(C464=48,"Mendelsohnstr. 3"))))))))))))))))))))))))))))))))))))))))))))))))</f>
        <v>Koppelskamp 8</v>
      </c>
      <c r="E464" s="75" t="s">
        <v>1207</v>
      </c>
      <c r="F464" s="17" t="s">
        <v>1208</v>
      </c>
      <c r="G464" s="18" t="s">
        <v>1209</v>
      </c>
      <c r="H464" s="17" t="s">
        <v>13</v>
      </c>
      <c r="I464" s="17" t="s">
        <v>14</v>
      </c>
      <c r="J464" s="17" t="s">
        <v>114</v>
      </c>
    </row>
    <row r="465" spans="1:10" ht="16" x14ac:dyDescent="0.2">
      <c r="A465" s="16">
        <v>230</v>
      </c>
      <c r="B465" s="34">
        <v>43382</v>
      </c>
      <c r="C465" s="105">
        <v>26</v>
      </c>
      <c r="D465" s="17" t="s">
        <v>110</v>
      </c>
      <c r="E465" s="17" t="s">
        <v>138</v>
      </c>
      <c r="F465" s="17" t="s">
        <v>560</v>
      </c>
      <c r="G465" s="18" t="s">
        <v>561</v>
      </c>
      <c r="H465" s="17" t="s">
        <v>58</v>
      </c>
      <c r="I465" s="17" t="s">
        <v>181</v>
      </c>
      <c r="J465" s="17" t="s">
        <v>181</v>
      </c>
    </row>
    <row r="466" spans="1:10" ht="16" x14ac:dyDescent="0.2">
      <c r="A466" s="16">
        <v>231</v>
      </c>
      <c r="B466" s="34">
        <v>43710</v>
      </c>
      <c r="C466" s="105">
        <v>34</v>
      </c>
      <c r="D466" s="17" t="str">
        <f>IF(C466=1,"Roßstr. 9",IF(C466=2,"Pfalzstr. 17",IF(C466=3,"Schlossstr. 19",IF(C466=4,"Neanderstr. 15",IF(C466=5,"Luisenstr. 3",IF(C466=6,"Lindenstr. 267",IF(C466=7,"Engerstr. 3",IF(C466=8,"Schützenstr. 20",IF(C466=9,"Stockkampstr. 47",IF(C466=10,"Driburgerstr. 8",IF(C466=11,"Kölnerstr. 261",IF(C466=12,"Merowingerstr. 17",IF(C466=13,"Borsigstr. 7",IF(C466=14,"Gerresheimer Landstr. 152",IF(C466=15,"Hoppengarten 15",IF(C466=16,"Hoppengarten 17",IF(C466=17,"Könerstr. 215",IF(C466=18,"Kölnerstr. 217",IF(C466=19,"Alte Bachstr. 25",IF(C466=20,"Kranzstr. 103",IF(C466=21,"Broicherdorfstr. 3",IF(C466=22,"Grafenberger Allee 235",IF(C466=23,"Börnestr. 2",IF(C466=24,"Angerbenden 31",IF(C466=25,"Koppelskamp 10",IF(C466=26,"Koppelskamp 12",IF(C466=27,"Koppelskamp 14",IF(C466=28,"Koppelskamp 8",IF(C466=29,"Bismarckstr. 109",IF(C466=30,"Memelstr. 43",IF(C466=31,"Angermunderstr. 30",IF(C466=32,"Koppelskamp 5",IF(C466=33,"Koppelskamp 5a",IF(C466=34,"Koppelskamp 7",IF(C466=35,"Lintorfer Waldstr. 6",IF(C466=36,"Lintorfer Waldstr. 8",IF(C466=37,"Lintorfer Waldstr. 10",IF(C466=38,"Koloniestr. 205",IF(C466=39,"Metzerstr. 28",IF(C466=40,"Metzerstr. 28a",IF(C466=41,"Spichernstr. 27",IF(C466=42,"Metzerstr. 17",IF(C466=43,"Neumühlerstr. 35",IF(C466=44,"Neumühlerstr. 37",IF(C466=45,"Neumühlerstr. 39",IF(C466=46,"Neumühlerstr. 41",IF(C466=47,"Mündelheimerstr. 3-5",IF(C466=48,"Mendelsohnstr. 3"))))))))))))))))))))))))))))))))))))))))))))))))</f>
        <v>Koppelskamp 7</v>
      </c>
      <c r="E466" s="17" t="s">
        <v>138</v>
      </c>
      <c r="F466" s="17" t="s">
        <v>464</v>
      </c>
      <c r="G466" s="18" t="s">
        <v>1210</v>
      </c>
      <c r="H466" s="17" t="s">
        <v>13</v>
      </c>
      <c r="I466" s="17" t="s">
        <v>900</v>
      </c>
      <c r="J466" s="17" t="s">
        <v>411</v>
      </c>
    </row>
    <row r="467" spans="1:10" ht="16" x14ac:dyDescent="0.2">
      <c r="A467" s="16">
        <v>231</v>
      </c>
      <c r="B467" s="34">
        <v>43382</v>
      </c>
      <c r="C467" s="105">
        <v>25</v>
      </c>
      <c r="D467" s="17" t="s">
        <v>562</v>
      </c>
      <c r="E467" s="17" t="s">
        <v>563</v>
      </c>
      <c r="F467" s="17"/>
      <c r="G467" s="18" t="s">
        <v>564</v>
      </c>
      <c r="H467" s="17" t="s">
        <v>58</v>
      </c>
      <c r="I467" s="17"/>
      <c r="J467" s="38" t="s">
        <v>565</v>
      </c>
    </row>
    <row r="468" spans="1:10" ht="16" x14ac:dyDescent="0.2">
      <c r="A468" s="16">
        <v>232</v>
      </c>
      <c r="B468" s="34">
        <v>43383</v>
      </c>
      <c r="C468" s="105">
        <v>20</v>
      </c>
      <c r="D468" s="17" t="s">
        <v>100</v>
      </c>
      <c r="E468" s="17" t="s">
        <v>566</v>
      </c>
      <c r="F468" s="17" t="s">
        <v>481</v>
      </c>
      <c r="G468" s="18" t="s">
        <v>567</v>
      </c>
      <c r="H468" s="17" t="s">
        <v>13</v>
      </c>
      <c r="I468" s="23" t="s">
        <v>104</v>
      </c>
      <c r="J468" s="17" t="s">
        <v>104</v>
      </c>
    </row>
    <row r="469" spans="1:10" ht="16" x14ac:dyDescent="0.2">
      <c r="A469" s="16">
        <v>232</v>
      </c>
      <c r="B469" s="34">
        <v>43710</v>
      </c>
      <c r="C469" s="105">
        <v>20</v>
      </c>
      <c r="D469" s="17" t="str">
        <f>IF(C469=1,"Roßstr. 9",IF(C469=2,"Pfalzstr. 17",IF(C469=3,"Schlossstr. 19",IF(C469=4,"Neanderstr. 15",IF(C469=5,"Luisenstr. 3",IF(C469=6,"Lindenstr. 267",IF(C469=7,"Engerstr. 3",IF(C469=8,"Schützenstr. 20",IF(C469=9,"Stockkampstr. 47",IF(C469=10,"Driburgerstr. 8",IF(C469=11,"Kölnerstr. 261",IF(C469=12,"Merowingerstr. 17",IF(C469=13,"Borsigstr. 7",IF(C469=14,"Gerresheimer Landstr. 152",IF(C469=15,"Hoppengarten 15",IF(C469=16,"Hoppengarten 17",IF(C469=17,"Könerstr. 215",IF(C469=18,"Kölnerstr. 217",IF(C469=19,"Alte Bachstr. 25",IF(C469=20,"Kranzstr. 103",IF(C469=21,"Broicherdorfstr. 3",IF(C469=22,"Grafenberger Allee 235",IF(C469=23,"Börnestr. 2",IF(C469=24,"Angerbenden 31",IF(C469=25,"Koppelskamp 10",IF(C469=26,"Koppelskamp 12",IF(C469=27,"Koppelskamp 14",IF(C469=28,"Koppelskamp 8",IF(C469=29,"Bismarckstr. 109",IF(C469=30,"Memelstr. 43",IF(C469=31,"Angermunderstr. 30",IF(C469=32,"Koppelskamp 5",IF(C469=33,"Koppelskamp 5a",IF(C469=34,"Koppelskamp 7",IF(C469=35,"Lintorfer Waldstr. 6",IF(C469=36,"Lintorfer Waldstr. 8",IF(C469=37,"Lintorfer Waldstr. 10",IF(C469=38,"Koloniestr. 205",IF(C469=39,"Metzerstr. 28",IF(C469=40,"Metzerstr. 28a",IF(C469=41,"Spichernstr. 27",IF(C469=42,"Metzerstr. 17",IF(C469=43,"Neumühlerstr. 35",IF(C469=44,"Neumühlerstr. 37",IF(C469=45,"Neumühlerstr. 39",IF(C469=46,"Neumühlerstr. 41",IF(C469=47,"Mündelheimerstr. 3-5",IF(C469=48,"Mendelsohnstr. 3"))))))))))))))))))))))))))))))))))))))))))))))))</f>
        <v>Kranzstr. 103</v>
      </c>
      <c r="E469" s="17" t="s">
        <v>756</v>
      </c>
      <c r="F469" s="17" t="s">
        <v>17</v>
      </c>
      <c r="G469" s="18" t="s">
        <v>61</v>
      </c>
      <c r="H469" s="17" t="s">
        <v>23</v>
      </c>
      <c r="I469" s="17" t="s">
        <v>14</v>
      </c>
      <c r="J469" s="21" t="s">
        <v>14</v>
      </c>
    </row>
    <row r="470" spans="1:10" ht="16" x14ac:dyDescent="0.2">
      <c r="A470" s="16">
        <v>233</v>
      </c>
      <c r="B470" s="34">
        <v>43378</v>
      </c>
      <c r="C470" s="105">
        <v>19</v>
      </c>
      <c r="D470" s="17" t="s">
        <v>35</v>
      </c>
      <c r="E470" s="17" t="s">
        <v>568</v>
      </c>
      <c r="F470" s="17" t="s">
        <v>569</v>
      </c>
      <c r="G470" s="18" t="s">
        <v>570</v>
      </c>
      <c r="H470" s="17" t="s">
        <v>13</v>
      </c>
      <c r="I470" s="23" t="s">
        <v>200</v>
      </c>
      <c r="J470" s="17" t="s">
        <v>200</v>
      </c>
    </row>
    <row r="471" spans="1:10" ht="16" x14ac:dyDescent="0.2">
      <c r="A471" s="16">
        <v>233</v>
      </c>
      <c r="B471" s="34">
        <v>43710</v>
      </c>
      <c r="C471" s="105">
        <v>19</v>
      </c>
      <c r="D471" s="17" t="str">
        <f>IF(C471=1,"Roßstr. 9",IF(C471=2,"Pfalzstr. 17",IF(C471=3,"Schlossstr. 19",IF(C471=4,"Neanderstr. 15",IF(C471=5,"Luisenstr. 3",IF(C471=6,"Lindenstr. 267",IF(C471=7,"Engerstr. 3",IF(C471=8,"Schützenstr. 20",IF(C471=9,"Stockkampstr. 47",IF(C471=10,"Driburgerstr. 8",IF(C471=11,"Kölnerstr. 261",IF(C471=12,"Merowingerstr. 17",IF(C471=13,"Borsigstr. 7",IF(C471=14,"Gerresheimer Landstr. 152",IF(C471=15,"Hoppengarten 15",IF(C471=16,"Hoppengarten 17",IF(C471=17,"Könerstr. 215",IF(C471=18,"Kölnerstr. 217",IF(C471=19,"Alte Bachstr. 25",IF(C471=20,"Kranzstr. 103",IF(C471=21,"Broicherdorfstr. 3",IF(C471=22,"Grafenberger Allee 235",IF(C471=23,"Börnestr. 2",IF(C471=24,"Angerbenden 31",IF(C471=25,"Koppelskamp 10",IF(C471=26,"Koppelskamp 12",IF(C471=27,"Koppelskamp 14",IF(C471=28,"Koppelskamp 8",IF(C471=29,"Bismarckstr. 109",IF(C471=30,"Memelstr. 43",IF(C471=31,"Angermunderstr. 30",IF(C471=32,"Koppelskamp 5",IF(C471=33,"Koppelskamp 5a",IF(C471=34,"Koppelskamp 7",IF(C471=35,"Lintorfer Waldstr. 6",IF(C471=36,"Lintorfer Waldstr. 8",IF(C471=37,"Lintorfer Waldstr. 10",IF(C471=38,"Koloniestr. 205",IF(C471=39,"Metzerstr. 28",IF(C471=40,"Metzerstr. 28a",IF(C471=41,"Spichernstr. 27",IF(C471=42,"Metzerstr. 17",IF(C471=43,"Neumühlerstr. 35",IF(C471=44,"Neumühlerstr. 37",IF(C471=45,"Neumühlerstr. 39",IF(C471=46,"Neumühlerstr. 41",IF(C471=47,"Mündelheimerstr. 3-5",IF(C471=48,"Mendelsohnstr. 3"))))))))))))))))))))))))))))))))))))))))))))))))</f>
        <v>Alte Bachstr. 25</v>
      </c>
      <c r="E471" s="17" t="s">
        <v>1203</v>
      </c>
      <c r="F471" s="17" t="s">
        <v>17</v>
      </c>
      <c r="G471" s="18" t="s">
        <v>61</v>
      </c>
      <c r="H471" s="17" t="s">
        <v>463</v>
      </c>
      <c r="I471" s="17" t="s">
        <v>14</v>
      </c>
      <c r="J471" s="21"/>
    </row>
    <row r="472" spans="1:10" ht="16" x14ac:dyDescent="0.2">
      <c r="A472" s="16">
        <v>234</v>
      </c>
      <c r="B472" s="34">
        <v>43385</v>
      </c>
      <c r="C472" s="105">
        <v>20</v>
      </c>
      <c r="D472" s="17" t="s">
        <v>100</v>
      </c>
      <c r="E472" s="17" t="s">
        <v>138</v>
      </c>
      <c r="F472" s="17" t="s">
        <v>102</v>
      </c>
      <c r="G472" s="18" t="s">
        <v>571</v>
      </c>
      <c r="H472" s="17" t="s">
        <v>13</v>
      </c>
      <c r="I472" s="17" t="s">
        <v>200</v>
      </c>
      <c r="J472" s="17" t="s">
        <v>200</v>
      </c>
    </row>
    <row r="473" spans="1:10" ht="16" x14ac:dyDescent="0.2">
      <c r="A473" s="16">
        <v>234</v>
      </c>
      <c r="B473" s="34">
        <v>43711</v>
      </c>
      <c r="C473" s="105">
        <v>11</v>
      </c>
      <c r="D473" s="17" t="str">
        <f>IF(C473=1,"Roßstr. 9",IF(C473=2,"Pfalzstr. 17",IF(C473=3,"Schlossstr. 19",IF(C473=4,"Neanderstr. 15",IF(C473=5,"Luisenstr. 3",IF(C473=6,"Lindenstr. 267",IF(C473=7,"Engerstr. 3",IF(C473=8,"Schützenstr. 20",IF(C473=9,"Stockkampstr. 47",IF(C473=10,"Driburgerstr. 8",IF(C473=11,"Kölnerstr. 261",IF(C473=12,"Merowingerstr. 17",IF(C473=13,"Borsigstr. 7",IF(C473=14,"Gerresheimer Landstr. 152",IF(C473=15,"Hoppengarten 15",IF(C473=16,"Hoppengarten 17",IF(C473=17,"Könerstr. 215",IF(C473=18,"Kölnerstr. 217",IF(C473=19,"Alte Bachstr. 25",IF(C473=20,"Kranzstr. 103",IF(C473=21,"Broicherdorfstr. 3",IF(C473=22,"Grafenberger Allee 235",IF(C473=23,"Börnestr. 2",IF(C473=24,"Angerbenden 31",IF(C473=25,"Koppelskamp 10",IF(C473=26,"Koppelskamp 12",IF(C473=27,"Koppelskamp 14",IF(C473=28,"Koppelskamp 8",IF(C473=29,"Bismarckstr. 109",IF(C473=30,"Memelstr. 43",IF(C473=31,"Angermunderstr. 30",IF(C473=32,"Koppelskamp 5",IF(C473=33,"Koppelskamp 5a",IF(C473=34,"Koppelskamp 7",IF(C473=35,"Lintorfer Waldstr. 6",IF(C473=36,"Lintorfer Waldstr. 8",IF(C473=37,"Lintorfer Waldstr. 10",IF(C473=38,"Koloniestr. 205",IF(C473=39,"Metzerstr. 28",IF(C473=40,"Metzerstr. 28a",IF(C473=41,"Spichernstr. 27",IF(C473=42,"Metzerstr. 17",IF(C473=43,"Neumühlerstr. 35",IF(C473=44,"Neumühlerstr. 37",IF(C473=45,"Neumühlerstr. 39",IF(C473=46,"Neumühlerstr. 41",IF(C473=47,"Mündelheimerstr. 3-5",IF(C473=48,"Mendelsohnstr. 3"))))))))))))))))))))))))))))))))))))))))))))))))</f>
        <v>Kölnerstr. 261</v>
      </c>
      <c r="E473" s="17" t="s">
        <v>202</v>
      </c>
      <c r="F473" s="17" t="s">
        <v>302</v>
      </c>
      <c r="G473" s="18" t="s">
        <v>1211</v>
      </c>
      <c r="H473" s="17" t="s">
        <v>13</v>
      </c>
      <c r="I473" s="17" t="s">
        <v>272</v>
      </c>
      <c r="J473" s="21" t="s">
        <v>272</v>
      </c>
    </row>
    <row r="474" spans="1:10" ht="16" x14ac:dyDescent="0.2">
      <c r="A474" s="16">
        <v>235</v>
      </c>
      <c r="B474" s="34">
        <v>43388</v>
      </c>
      <c r="C474" s="105">
        <v>13</v>
      </c>
      <c r="D474" s="17" t="s">
        <v>238</v>
      </c>
      <c r="E474" s="17" t="s">
        <v>27</v>
      </c>
      <c r="F474" s="17" t="s">
        <v>550</v>
      </c>
      <c r="G474" s="18" t="s">
        <v>572</v>
      </c>
      <c r="H474" s="17" t="s">
        <v>23</v>
      </c>
      <c r="I474" s="17" t="s">
        <v>48</v>
      </c>
      <c r="J474" s="17" t="s">
        <v>48</v>
      </c>
    </row>
    <row r="475" spans="1:10" ht="16" x14ac:dyDescent="0.2">
      <c r="A475" s="16">
        <v>235</v>
      </c>
      <c r="B475" s="34">
        <v>43711</v>
      </c>
      <c r="C475" s="105">
        <v>13</v>
      </c>
      <c r="D475" s="17" t="str">
        <f>IF(C475=1,"Roßstr. 9",IF(C475=2,"Pfalzstr. 17",IF(C475=3,"Schlossstr. 19",IF(C475=4,"Neanderstr. 15",IF(C475=5,"Luisenstr. 3",IF(C475=6,"Lindenstr. 267",IF(C475=7,"Engerstr. 3",IF(C475=8,"Schützenstr. 20",IF(C475=9,"Stockkampstr. 47",IF(C475=10,"Driburgerstr. 8",IF(C475=11,"Kölnerstr. 261",IF(C475=12,"Merowingerstr. 17",IF(C475=13,"Borsigstr. 7",IF(C475=14,"Gerresheimer Landstr. 152",IF(C475=15,"Hoppengarten 15",IF(C475=16,"Hoppengarten 17",IF(C475=17,"Könerstr. 215",IF(C475=18,"Kölnerstr. 217",IF(C475=19,"Alte Bachstr. 25",IF(C475=20,"Kranzstr. 103",IF(C475=21,"Broicherdorfstr. 3",IF(C475=22,"Grafenberger Allee 235",IF(C475=23,"Börnestr. 2",IF(C475=24,"Angerbenden 31",IF(C475=25,"Koppelskamp 10",IF(C475=26,"Koppelskamp 12",IF(C475=27,"Koppelskamp 14",IF(C475=28,"Koppelskamp 8",IF(C475=29,"Bismarckstr. 109",IF(C475=30,"Memelstr. 43",IF(C475=31,"Angermunderstr. 30",IF(C475=32,"Koppelskamp 5",IF(C475=33,"Koppelskamp 5a",IF(C475=34,"Koppelskamp 7",IF(C475=35,"Lintorfer Waldstr. 6",IF(C475=36,"Lintorfer Waldstr. 8",IF(C475=37,"Lintorfer Waldstr. 10",IF(C475=38,"Koloniestr. 205",IF(C475=39,"Metzerstr. 28",IF(C475=40,"Metzerstr. 28a",IF(C475=41,"Spichernstr. 27",IF(C475=42,"Metzerstr. 17",IF(C475=43,"Neumühlerstr. 35",IF(C475=44,"Neumühlerstr. 37",IF(C475=45,"Neumühlerstr. 39",IF(C475=46,"Neumühlerstr. 41",IF(C475=47,"Mündelheimerstr. 3-5",IF(C475=48,"Mendelsohnstr. 3"))))))))))))))))))))))))))))))))))))))))))))))))</f>
        <v>Borsigstr. 7</v>
      </c>
      <c r="E475" s="17" t="s">
        <v>1119</v>
      </c>
      <c r="F475" s="17" t="s">
        <v>370</v>
      </c>
      <c r="G475" s="18" t="s">
        <v>1212</v>
      </c>
      <c r="H475" s="17" t="s">
        <v>23</v>
      </c>
      <c r="I475" s="17" t="s">
        <v>19</v>
      </c>
      <c r="J475" s="17" t="s">
        <v>19</v>
      </c>
    </row>
    <row r="476" spans="1:10" ht="16" x14ac:dyDescent="0.2">
      <c r="A476" s="16">
        <v>236</v>
      </c>
      <c r="B476" s="34">
        <v>43389</v>
      </c>
      <c r="C476" s="105">
        <v>46</v>
      </c>
      <c r="D476" s="17" t="s">
        <v>573</v>
      </c>
      <c r="E476" s="17" t="s">
        <v>269</v>
      </c>
      <c r="F476" s="17" t="s">
        <v>574</v>
      </c>
      <c r="G476" s="18" t="s">
        <v>575</v>
      </c>
      <c r="H476" s="17" t="s">
        <v>23</v>
      </c>
      <c r="I476" s="17" t="s">
        <v>543</v>
      </c>
      <c r="J476" s="17" t="s">
        <v>543</v>
      </c>
    </row>
    <row r="477" spans="1:10" ht="16" x14ac:dyDescent="0.2">
      <c r="A477" s="16">
        <v>237</v>
      </c>
      <c r="B477" s="34">
        <v>43711</v>
      </c>
      <c r="C477" s="105">
        <v>41</v>
      </c>
      <c r="D477" s="17" t="str">
        <f>IF(C477=1,"Roßstr. 9",IF(C477=2,"Pfalzstr. 17",IF(C477=3,"Schlossstr. 19",IF(C477=4,"Neanderstr. 15",IF(C477=5,"Luisenstr. 3",IF(C477=6,"Lindenstr. 267",IF(C477=7,"Engerstr. 3",IF(C477=8,"Schützenstr. 20",IF(C477=9,"Stockkampstr. 47",IF(C477=10,"Driburgerstr. 8",IF(C477=11,"Kölnerstr. 261",IF(C477=12,"Merowingerstr. 17",IF(C477=13,"Borsigstr. 7",IF(C477=14,"Gerresheimer Landstr. 152",IF(C477=15,"Hoppengarten 15",IF(C477=16,"Hoppengarten 17",IF(C477=17,"Könerstr. 215",IF(C477=18,"Kölnerstr. 217",IF(C477=19,"Alte Bachstr. 25",IF(C477=20,"Kranzstr. 103",IF(C477=21,"Broicherdorfstr. 3",IF(C477=22,"Grafenberger Allee 235",IF(C477=23,"Börnestr. 2",IF(C477=24,"Angerbenden 31",IF(C477=25,"Koppelskamp 10",IF(C477=26,"Koppelskamp 12",IF(C477=27,"Koppelskamp 14",IF(C477=28,"Koppelskamp 8",IF(C477=29,"Bismarckstr. 109",IF(C477=30,"Memelstr. 43",IF(C477=31,"Angermunderstr. 30",IF(C477=32,"Koppelskamp 5",IF(C477=33,"Koppelskamp 5a",IF(C477=34,"Koppelskamp 7",IF(C477=35,"Lintorfer Waldstr. 6",IF(C477=36,"Lintorfer Waldstr. 8",IF(C477=37,"Lintorfer Waldstr. 10",IF(C477=38,"Koloniestr. 205",IF(C477=39,"Metzerstr. 28",IF(C477=40,"Metzerstr. 28a",IF(C477=41,"Spichernstr. 27",IF(C477=42,"Metzerstr. 17",IF(C477=43,"Neumühlerstr. 35",IF(C477=44,"Neumühlerstr. 37",IF(C477=45,"Neumühlerstr. 39",IF(C477=46,"Neumühlerstr. 41",IF(C477=47,"Mündelheimerstr. 3-5",IF(C477=48,"Mendelsohnstr. 3"))))))))))))))))))))))))))))))))))))))))))))))))</f>
        <v>Spichernstr. 27</v>
      </c>
      <c r="E477" s="17" t="s">
        <v>245</v>
      </c>
      <c r="F477" s="17" t="s">
        <v>17</v>
      </c>
      <c r="G477" s="18" t="s">
        <v>61</v>
      </c>
      <c r="H477" s="17" t="s">
        <v>23</v>
      </c>
      <c r="I477" s="17" t="s">
        <v>14</v>
      </c>
      <c r="J477" s="17" t="s">
        <v>14</v>
      </c>
    </row>
    <row r="478" spans="1:10" ht="16" x14ac:dyDescent="0.2">
      <c r="A478" s="16">
        <v>237</v>
      </c>
      <c r="B478" s="34">
        <v>43389</v>
      </c>
      <c r="C478" s="105">
        <v>46</v>
      </c>
      <c r="D478" s="17" t="s">
        <v>573</v>
      </c>
      <c r="E478" s="17" t="s">
        <v>269</v>
      </c>
      <c r="F478" s="17" t="s">
        <v>574</v>
      </c>
      <c r="G478" s="18" t="s">
        <v>576</v>
      </c>
      <c r="H478" s="17" t="s">
        <v>23</v>
      </c>
      <c r="I478" s="17" t="s">
        <v>119</v>
      </c>
      <c r="J478" s="17" t="s">
        <v>119</v>
      </c>
    </row>
    <row r="479" spans="1:10" ht="16" x14ac:dyDescent="0.2">
      <c r="A479" s="16">
        <v>238</v>
      </c>
      <c r="B479" s="34">
        <v>43390</v>
      </c>
      <c r="C479" s="105">
        <v>21</v>
      </c>
      <c r="D479" s="17" t="s">
        <v>31</v>
      </c>
      <c r="E479" s="17" t="s">
        <v>269</v>
      </c>
      <c r="F479" s="17" t="s">
        <v>577</v>
      </c>
      <c r="G479" s="18" t="s">
        <v>578</v>
      </c>
      <c r="H479" s="17" t="s">
        <v>23</v>
      </c>
      <c r="I479" s="17" t="s">
        <v>14</v>
      </c>
      <c r="J479" s="17" t="s">
        <v>14</v>
      </c>
    </row>
    <row r="480" spans="1:10" ht="16" x14ac:dyDescent="0.2">
      <c r="A480" s="16">
        <v>238</v>
      </c>
      <c r="B480" s="34">
        <v>43711</v>
      </c>
      <c r="C480" s="105">
        <v>4</v>
      </c>
      <c r="D480" s="17" t="str">
        <f>IF(C480=1,"Roßstr. 9",IF(C480=2,"Pfalzstr. 17",IF(C480=3,"Schlossstr. 19",IF(C480=4,"Neanderstr. 15",IF(C480=5,"Luisenstr. 3",IF(C480=6,"Lindenstr. 267",IF(C480=7,"Engerstr. 3",IF(C480=8,"Schützenstr. 20",IF(C480=9,"Stockkampstr. 47",IF(C480=10,"Driburgerstr. 8",IF(C480=11,"Kölnerstr. 261",IF(C480=12,"Merowingerstr. 17",IF(C480=13,"Borsigstr. 7",IF(C480=14,"Gerresheimer Landstr. 152",IF(C480=15,"Hoppengarten 15",IF(C480=16,"Hoppengarten 17",IF(C480=17,"Könerstr. 215",IF(C480=18,"Kölnerstr. 217",IF(C480=19,"Alte Bachstr. 25",IF(C480=20,"Kranzstr. 103",IF(C480=21,"Broicherdorfstr. 3",IF(C480=22,"Grafenberger Allee 235",IF(C480=23,"Börnestr. 2",IF(C480=24,"Angerbenden 31",IF(C480=25,"Koppelskamp 10",IF(C480=26,"Koppelskamp 12",IF(C480=27,"Koppelskamp 14",IF(C480=28,"Koppelskamp 8",IF(C480=29,"Bismarckstr. 109",IF(C480=30,"Memelstr. 43",IF(C480=31,"Angermunderstr. 30",IF(C480=32,"Koppelskamp 5",IF(C480=33,"Koppelskamp 5a",IF(C480=34,"Koppelskamp 7",IF(C480=35,"Lintorfer Waldstr. 6",IF(C480=36,"Lintorfer Waldstr. 8",IF(C480=37,"Lintorfer Waldstr. 10",IF(C480=38,"Koloniestr. 205",IF(C480=39,"Metzerstr. 28",IF(C480=40,"Metzerstr. 28a",IF(C480=41,"Spichernstr. 27",IF(C480=42,"Metzerstr. 17",IF(C480=43,"Neumühlerstr. 35",IF(C480=44,"Neumühlerstr. 37",IF(C480=45,"Neumühlerstr. 39",IF(C480=46,"Neumühlerstr. 41",IF(C480=47,"Mündelheimerstr. 3-5",IF(C480=48,"Mendelsohnstr. 3"))))))))))))))))))))))))))))))))))))))))))))))))</f>
        <v>Neanderstr. 15</v>
      </c>
      <c r="E480" s="17" t="s">
        <v>467</v>
      </c>
      <c r="F480" s="17" t="s">
        <v>731</v>
      </c>
      <c r="G480" s="18" t="s">
        <v>1213</v>
      </c>
      <c r="H480" s="17" t="s">
        <v>1148</v>
      </c>
      <c r="I480" s="17" t="s">
        <v>922</v>
      </c>
      <c r="J480" s="21" t="s">
        <v>922</v>
      </c>
    </row>
    <row r="481" spans="1:10" ht="16" x14ac:dyDescent="0.2">
      <c r="A481" s="16">
        <v>239</v>
      </c>
      <c r="B481" s="34">
        <v>43391</v>
      </c>
      <c r="C481" s="105">
        <v>22</v>
      </c>
      <c r="D481" s="17" t="s">
        <v>173</v>
      </c>
      <c r="E481" s="17" t="s">
        <v>579</v>
      </c>
      <c r="F481" s="17" t="s">
        <v>580</v>
      </c>
      <c r="G481" s="18" t="s">
        <v>581</v>
      </c>
      <c r="H481" s="17" t="s">
        <v>463</v>
      </c>
      <c r="I481" s="17" t="s">
        <v>14</v>
      </c>
      <c r="J481" s="17" t="s">
        <v>14</v>
      </c>
    </row>
    <row r="482" spans="1:10" ht="16" x14ac:dyDescent="0.2">
      <c r="A482" s="16">
        <v>239</v>
      </c>
      <c r="B482" s="34">
        <v>43712</v>
      </c>
      <c r="C482" s="105">
        <v>25</v>
      </c>
      <c r="D482" s="17" t="str">
        <f>IF(C482=1,"Roßstr. 9",IF(C482=2,"Pfalzstr. 17",IF(C482=3,"Schlossstr. 19",IF(C482=4,"Neanderstr. 15",IF(C482=5,"Luisenstr. 3",IF(C482=6,"Lindenstr. 267",IF(C482=7,"Engerstr. 3",IF(C482=8,"Schützenstr. 20",IF(C482=9,"Stockkampstr. 47",IF(C482=10,"Driburgerstr. 8",IF(C482=11,"Kölnerstr. 261",IF(C482=12,"Merowingerstr. 17",IF(C482=13,"Borsigstr. 7",IF(C482=14,"Gerresheimer Landstr. 152",IF(C482=15,"Hoppengarten 15",IF(C482=16,"Hoppengarten 17",IF(C482=17,"Könerstr. 215",IF(C482=18,"Kölnerstr. 217",IF(C482=19,"Alte Bachstr. 25",IF(C482=20,"Kranzstr. 103",IF(C482=21,"Broicherdorfstr. 3",IF(C482=22,"Grafenberger Allee 235",IF(C482=23,"Börnestr. 2",IF(C482=24,"Angerbenden 31",IF(C482=25,"Koppelskamp 10",IF(C482=26,"Koppelskamp 12",IF(C482=27,"Koppelskamp 14",IF(C482=28,"Koppelskamp 8",IF(C482=29,"Bismarckstr. 109",IF(C482=30,"Memelstr. 43",IF(C482=31,"Angermunderstr. 30",IF(C482=32,"Koppelskamp 5",IF(C482=33,"Koppelskamp 5a",IF(C482=34,"Koppelskamp 7",IF(C482=35,"Lintorfer Waldstr. 6",IF(C482=36,"Lintorfer Waldstr. 8",IF(C482=37,"Lintorfer Waldstr. 10",IF(C482=38,"Koloniestr. 205",IF(C482=39,"Metzerstr. 28",IF(C482=40,"Metzerstr. 28a",IF(C482=41,"Spichernstr. 27",IF(C482=42,"Metzerstr. 17",IF(C482=43,"Neumühlerstr. 35",IF(C482=44,"Neumühlerstr. 37",IF(C482=45,"Neumühlerstr. 39",IF(C482=46,"Neumühlerstr. 41",IF(C482=47,"Mündelheimerstr. 3-5",IF(C482=48,"Mendelsohnstr. 3"))))))))))))))))))))))))))))))))))))))))))))))))</f>
        <v>Koppelskamp 10</v>
      </c>
      <c r="E482" s="17" t="s">
        <v>358</v>
      </c>
      <c r="F482" s="17" t="s">
        <v>1214</v>
      </c>
      <c r="G482" s="18" t="s">
        <v>1215</v>
      </c>
      <c r="H482" s="17" t="s">
        <v>13</v>
      </c>
      <c r="I482" s="17" t="s">
        <v>14</v>
      </c>
      <c r="J482" s="21" t="s">
        <v>900</v>
      </c>
    </row>
    <row r="483" spans="1:10" ht="16" x14ac:dyDescent="0.2">
      <c r="A483" s="16">
        <v>240</v>
      </c>
      <c r="B483" s="34">
        <v>43391</v>
      </c>
      <c r="C483" s="105">
        <v>24</v>
      </c>
      <c r="D483" s="17" t="s">
        <v>59</v>
      </c>
      <c r="E483" s="17" t="s">
        <v>101</v>
      </c>
      <c r="F483" s="17" t="s">
        <v>582</v>
      </c>
      <c r="G483" s="18" t="s">
        <v>581</v>
      </c>
      <c r="H483" s="17" t="s">
        <v>23</v>
      </c>
      <c r="I483" s="17" t="s">
        <v>14</v>
      </c>
      <c r="J483" s="17" t="s">
        <v>14</v>
      </c>
    </row>
    <row r="484" spans="1:10" ht="16" x14ac:dyDescent="0.2">
      <c r="A484" s="16">
        <v>240</v>
      </c>
      <c r="B484" s="34">
        <v>43712</v>
      </c>
      <c r="C484" s="105">
        <v>41</v>
      </c>
      <c r="D484" s="17" t="str">
        <f>IF(C484=1,"Roßstr. 9",IF(C484=2,"Pfalzstr. 17",IF(C484=3,"Schlossstr. 19",IF(C484=4,"Neanderstr. 15",IF(C484=5,"Luisenstr. 3",IF(C484=6,"Lindenstr. 267",IF(C484=7,"Engerstr. 3",IF(C484=8,"Schützenstr. 20",IF(C484=9,"Stockkampstr. 47",IF(C484=10,"Driburgerstr. 8",IF(C484=11,"Kölnerstr. 261",IF(C484=12,"Merowingerstr. 17",IF(C484=13,"Borsigstr. 7",IF(C484=14,"Gerresheimer Landstr. 152",IF(C484=15,"Hoppengarten 15",IF(C484=16,"Hoppengarten 17",IF(C484=17,"Könerstr. 215",IF(C484=18,"Kölnerstr. 217",IF(C484=19,"Alte Bachstr. 25",IF(C484=20,"Kranzstr. 103",IF(C484=21,"Broicherdorfstr. 3",IF(C484=22,"Grafenberger Allee 235",IF(C484=23,"Börnestr. 2",IF(C484=24,"Angerbenden 31",IF(C484=25,"Koppelskamp 10",IF(C484=26,"Koppelskamp 12",IF(C484=27,"Koppelskamp 14",IF(C484=28,"Koppelskamp 8",IF(C484=29,"Bismarckstr. 109",IF(C484=30,"Memelstr. 43",IF(C484=31,"Angermunderstr. 30",IF(C484=32,"Koppelskamp 5",IF(C484=33,"Koppelskamp 5a",IF(C484=34,"Koppelskamp 7",IF(C484=35,"Lintorfer Waldstr. 6",IF(C484=36,"Lintorfer Waldstr. 8",IF(C484=37,"Lintorfer Waldstr. 10",IF(C484=38,"Koloniestr. 205",IF(C484=39,"Metzerstr. 28",IF(C484=40,"Metzerstr. 28a",IF(C484=41,"Spichernstr. 27",IF(C484=42,"Metzerstr. 17",IF(C484=43,"Neumühlerstr. 35",IF(C484=44,"Neumühlerstr. 37",IF(C484=45,"Neumühlerstr. 39",IF(C484=46,"Neumühlerstr. 41",IF(C484=47,"Mündelheimerstr. 3-5",IF(C484=48,"Mendelsohnstr. 3"))))))))))))))))))))))))))))))))))))))))))))))))</f>
        <v>Spichernstr. 27</v>
      </c>
      <c r="E484" s="17" t="s">
        <v>43</v>
      </c>
      <c r="F484" s="17" t="s">
        <v>791</v>
      </c>
      <c r="G484" s="18" t="s">
        <v>1216</v>
      </c>
      <c r="H484" s="17" t="s">
        <v>13</v>
      </c>
      <c r="I484" s="21" t="s">
        <v>706</v>
      </c>
      <c r="J484" s="17" t="s">
        <v>252</v>
      </c>
    </row>
    <row r="485" spans="1:10" ht="16" x14ac:dyDescent="0.2">
      <c r="A485" s="16">
        <v>241</v>
      </c>
      <c r="B485" s="34">
        <v>43395</v>
      </c>
      <c r="C485" s="105">
        <v>47</v>
      </c>
      <c r="D485" s="17" t="s">
        <v>228</v>
      </c>
      <c r="E485" s="17" t="s">
        <v>86</v>
      </c>
      <c r="F485" s="17" t="s">
        <v>558</v>
      </c>
      <c r="G485" s="18" t="s">
        <v>583</v>
      </c>
      <c r="H485" s="17" t="s">
        <v>13</v>
      </c>
      <c r="I485" s="17" t="s">
        <v>543</v>
      </c>
      <c r="J485" s="17" t="s">
        <v>543</v>
      </c>
    </row>
    <row r="486" spans="1:10" ht="32" x14ac:dyDescent="0.2">
      <c r="A486" s="16">
        <v>241</v>
      </c>
      <c r="B486" s="34">
        <v>43712</v>
      </c>
      <c r="C486" s="105">
        <v>6</v>
      </c>
      <c r="D486" s="17" t="str">
        <f>IF(C486=1,"Roßstr. 9",IF(C486=2,"Pfalzstr. 17",IF(C486=3,"Schlossstr. 19",IF(C486=4,"Neanderstr. 15",IF(C486=5,"Luisenstr. 3",IF(C486=6,"Lindenstr. 267",IF(C486=7,"Engerstr. 3",IF(C486=8,"Schützenstr. 20",IF(C486=9,"Stockkampstr. 47",IF(C486=10,"Driburgerstr. 8",IF(C486=11,"Kölnerstr. 261",IF(C486=12,"Merowingerstr. 17",IF(C486=13,"Borsigstr. 7",IF(C486=14,"Gerresheimer Landstr. 152",IF(C486=15,"Hoppengarten 15",IF(C486=16,"Hoppengarten 17",IF(C486=17,"Könerstr. 215",IF(C486=18,"Kölnerstr. 217",IF(C486=19,"Alte Bachstr. 25",IF(C486=20,"Kranzstr. 103",IF(C486=21,"Broicherdorfstr. 3",IF(C486=22,"Grafenberger Allee 235",IF(C486=23,"Börnestr. 2",IF(C486=24,"Angerbenden 31",IF(C486=25,"Koppelskamp 10",IF(C486=26,"Koppelskamp 12",IF(C486=27,"Koppelskamp 14",IF(C486=28,"Koppelskamp 8",IF(C486=29,"Bismarckstr. 109",IF(C486=30,"Memelstr. 43",IF(C486=31,"Angermunderstr. 30",IF(C486=32,"Koppelskamp 5",IF(C486=33,"Koppelskamp 5a",IF(C486=34,"Koppelskamp 7",IF(C486=35,"Lintorfer Waldstr. 6",IF(C486=36,"Lintorfer Waldstr. 8",IF(C486=37,"Lintorfer Waldstr. 10",IF(C486=38,"Koloniestr. 205",IF(C486=39,"Metzerstr. 28",IF(C486=40,"Metzerstr. 28a",IF(C486=41,"Spichernstr. 27",IF(C486=42,"Metzerstr. 17",IF(C486=43,"Neumühlerstr. 35",IF(C486=44,"Neumühlerstr. 37",IF(C486=45,"Neumühlerstr. 39",IF(C486=46,"Neumühlerstr. 41",IF(C486=47,"Mündelheimerstr. 3-5",IF(C486=48,"Mendelsohnstr. 3"))))))))))))))))))))))))))))))))))))))))))))))))</f>
        <v>Lindenstr. 267</v>
      </c>
      <c r="E486" s="17" t="s">
        <v>467</v>
      </c>
      <c r="F486" s="17" t="s">
        <v>17</v>
      </c>
      <c r="G486" s="18" t="s">
        <v>1217</v>
      </c>
      <c r="H486" s="17" t="s">
        <v>58</v>
      </c>
      <c r="I486" s="17" t="s">
        <v>119</v>
      </c>
      <c r="J486" s="17" t="s">
        <v>119</v>
      </c>
    </row>
    <row r="487" spans="1:10" ht="16" x14ac:dyDescent="0.2">
      <c r="A487" s="16">
        <v>242</v>
      </c>
      <c r="B487" s="34">
        <v>43395</v>
      </c>
      <c r="C487" s="105">
        <v>47</v>
      </c>
      <c r="D487" s="17" t="s">
        <v>228</v>
      </c>
      <c r="E487" s="17" t="s">
        <v>86</v>
      </c>
      <c r="F487" s="17" t="s">
        <v>558</v>
      </c>
      <c r="G487" s="18" t="s">
        <v>584</v>
      </c>
      <c r="H487" s="17" t="s">
        <v>13</v>
      </c>
      <c r="I487" s="17" t="s">
        <v>14</v>
      </c>
      <c r="J487" s="17" t="s">
        <v>14</v>
      </c>
    </row>
    <row r="488" spans="1:10" ht="32" x14ac:dyDescent="0.2">
      <c r="A488" s="16">
        <v>243</v>
      </c>
      <c r="B488" s="34">
        <v>43397</v>
      </c>
      <c r="C488" s="105">
        <v>19</v>
      </c>
      <c r="D488" s="17" t="s">
        <v>585</v>
      </c>
      <c r="E488" s="17" t="s">
        <v>586</v>
      </c>
      <c r="F488" s="17" t="s">
        <v>587</v>
      </c>
      <c r="G488" s="18" t="s">
        <v>588</v>
      </c>
      <c r="H488" s="17" t="s">
        <v>23</v>
      </c>
      <c r="I488" s="17" t="s">
        <v>14</v>
      </c>
      <c r="J488" s="17" t="s">
        <v>14</v>
      </c>
    </row>
    <row r="489" spans="1:10" ht="16" x14ac:dyDescent="0.2">
      <c r="A489" s="16">
        <v>243</v>
      </c>
      <c r="B489" s="34">
        <v>43712</v>
      </c>
      <c r="C489" s="105">
        <v>38</v>
      </c>
      <c r="D489" s="17" t="str">
        <f>IF(C489=1,"Roßstr. 9",IF(C489=2,"Pfalzstr. 17",IF(C489=3,"Schlossstr. 19",IF(C489=4,"Neanderstr. 15",IF(C489=5,"Luisenstr. 3",IF(C489=6,"Lindenstr. 267",IF(C489=7,"Engerstr. 3",IF(C489=8,"Schützenstr. 20",IF(C489=9,"Stockkampstr. 47",IF(C489=10,"Driburgerstr. 8",IF(C489=11,"Kölnerstr. 261",IF(C489=12,"Merowingerstr. 17",IF(C489=13,"Borsigstr. 7",IF(C489=14,"Gerresheimer Landstr. 152",IF(C489=15,"Hoppengarten 15",IF(C489=16,"Hoppengarten 17",IF(C489=17,"Könerstr. 215",IF(C489=18,"Kölnerstr. 217",IF(C489=19,"Alte Bachstr. 25",IF(C489=20,"Kranzstr. 103",IF(C489=21,"Broicherdorfstr. 3",IF(C489=22,"Grafenberger Allee 235",IF(C489=23,"Börnestr. 2",IF(C489=24,"Angerbenden 31",IF(C489=25,"Koppelskamp 10",IF(C489=26,"Koppelskamp 12",IF(C489=27,"Koppelskamp 14",IF(C489=28,"Koppelskamp 8",IF(C489=29,"Bismarckstr. 109",IF(C489=30,"Memelstr. 43",IF(C489=31,"Angermunderstr. 30",IF(C489=32,"Koppelskamp 5",IF(C489=33,"Koppelskamp 5a",IF(C489=34,"Koppelskamp 7",IF(C489=35,"Lintorfer Waldstr. 6",IF(C489=36,"Lintorfer Waldstr. 8",IF(C489=37,"Lintorfer Waldstr. 10",IF(C489=38,"Koloniestr. 205",IF(C489=39,"Metzerstr. 28",IF(C489=40,"Metzerstr. 28a",IF(C489=41,"Spichernstr. 27",IF(C489=42,"Metzerstr. 17",IF(C489=43,"Neumühlerstr. 35",IF(C489=44,"Neumühlerstr. 37",IF(C489=45,"Neumühlerstr. 39",IF(C489=46,"Neumühlerstr. 41",IF(C489=47,"Mündelheimerstr. 3-5",IF(C489=48,"Mendelsohnstr. 3"))))))))))))))))))))))))))))))))))))))))))))))))</f>
        <v>Koloniestr. 205</v>
      </c>
      <c r="E489" s="17" t="s">
        <v>693</v>
      </c>
      <c r="F489" s="17" t="s">
        <v>259</v>
      </c>
      <c r="G489" s="18" t="s">
        <v>1218</v>
      </c>
      <c r="H489" s="17" t="s">
        <v>13</v>
      </c>
      <c r="I489" s="17" t="s">
        <v>900</v>
      </c>
      <c r="J489" s="17" t="s">
        <v>900</v>
      </c>
    </row>
    <row r="490" spans="1:10" ht="16" x14ac:dyDescent="0.2">
      <c r="A490" s="16">
        <v>244</v>
      </c>
      <c r="B490" s="35">
        <v>43398</v>
      </c>
      <c r="C490" s="105">
        <v>6</v>
      </c>
      <c r="D490" s="17" t="s">
        <v>283</v>
      </c>
      <c r="E490" s="17" t="s">
        <v>64</v>
      </c>
      <c r="F490" s="17" t="s">
        <v>589</v>
      </c>
      <c r="G490" s="18" t="s">
        <v>590</v>
      </c>
      <c r="H490" s="17" t="s">
        <v>58</v>
      </c>
      <c r="I490" s="17" t="s">
        <v>14</v>
      </c>
      <c r="J490" s="17" t="s">
        <v>14</v>
      </c>
    </row>
    <row r="491" spans="1:10" ht="16" x14ac:dyDescent="0.2">
      <c r="A491" s="16">
        <v>244</v>
      </c>
      <c r="B491" s="34">
        <v>43713</v>
      </c>
      <c r="C491" s="105">
        <v>12</v>
      </c>
      <c r="D491" s="17" t="str">
        <f>IF(C491=1,"Roßstr. 9",IF(C491=2,"Pfalzstr. 17",IF(C491=3,"Schlossstr. 19",IF(C491=4,"Neanderstr. 15",IF(C491=5,"Luisenstr. 3",IF(C491=6,"Lindenstr. 267",IF(C491=7,"Engerstr. 3",IF(C491=8,"Schützenstr. 20",IF(C491=9,"Stockkampstr. 47",IF(C491=10,"Driburgerstr. 8",IF(C491=11,"Kölnerstr. 261",IF(C491=12,"Merowingerstr. 17",IF(C491=13,"Borsigstr. 7",IF(C491=14,"Gerresheimer Landstr. 152",IF(C491=15,"Hoppengarten 15",IF(C491=16,"Hoppengarten 17",IF(C491=17,"Könerstr. 215",IF(C491=18,"Kölnerstr. 217",IF(C491=19,"Alte Bachstr. 25",IF(C491=20,"Kranzstr. 103",IF(C491=21,"Broicherdorfstr. 3",IF(C491=22,"Grafenberger Allee 235",IF(C491=23,"Börnestr. 2",IF(C491=24,"Angerbenden 31",IF(C491=25,"Koppelskamp 10",IF(C491=26,"Koppelskamp 12",IF(C491=27,"Koppelskamp 14",IF(C491=28,"Koppelskamp 8",IF(C491=29,"Bismarckstr. 109",IF(C491=30,"Memelstr. 43",IF(C491=31,"Angermunderstr. 30",IF(C491=32,"Koppelskamp 5",IF(C491=33,"Koppelskamp 5a",IF(C491=34,"Koppelskamp 7",IF(C491=35,"Lintorfer Waldstr. 6",IF(C491=36,"Lintorfer Waldstr. 8",IF(C491=37,"Lintorfer Waldstr. 10",IF(C491=38,"Koloniestr. 205",IF(C491=39,"Metzerstr. 28",IF(C491=40,"Metzerstr. 28a",IF(C491=41,"Spichernstr. 27",IF(C491=42,"Metzerstr. 17",IF(C491=43,"Neumühlerstr. 35",IF(C491=44,"Neumühlerstr. 37",IF(C491=45,"Neumühlerstr. 39",IF(C491=46,"Neumühlerstr. 41",IF(C491=47,"Mündelheimerstr. 3-5",IF(C491=48,"Mendelsohnstr. 3"))))))))))))))))))))))))))))))))))))))))))))))))</f>
        <v>Merowingerstr. 17</v>
      </c>
      <c r="E491" s="17" t="s">
        <v>528</v>
      </c>
      <c r="F491" s="17" t="s">
        <v>17</v>
      </c>
      <c r="G491" s="32" t="s">
        <v>1219</v>
      </c>
      <c r="H491" s="17" t="s">
        <v>23</v>
      </c>
      <c r="I491" s="17" t="s">
        <v>900</v>
      </c>
      <c r="J491" s="17" t="s">
        <v>900</v>
      </c>
    </row>
    <row r="492" spans="1:10" ht="32" x14ac:dyDescent="0.2">
      <c r="A492" s="16">
        <v>245</v>
      </c>
      <c r="B492" s="35">
        <v>43399</v>
      </c>
      <c r="C492" s="105">
        <v>19</v>
      </c>
      <c r="D492" s="17" t="s">
        <v>585</v>
      </c>
      <c r="E492" s="17" t="s">
        <v>591</v>
      </c>
      <c r="F492" s="17" t="s">
        <v>17</v>
      </c>
      <c r="G492" s="18" t="s">
        <v>592</v>
      </c>
      <c r="H492" s="17" t="s">
        <v>23</v>
      </c>
      <c r="I492" s="17" t="s">
        <v>14</v>
      </c>
      <c r="J492" s="17" t="s">
        <v>14</v>
      </c>
    </row>
    <row r="493" spans="1:10" ht="16" x14ac:dyDescent="0.2">
      <c r="A493" s="16">
        <v>245</v>
      </c>
      <c r="B493" s="34">
        <v>43714</v>
      </c>
      <c r="C493" s="105">
        <v>29</v>
      </c>
      <c r="D493" s="17" t="str">
        <f>IF(C493=1,"Roßstr. 9",IF(C493=2,"Pfalzstr. 17",IF(C493=3,"Schlossstr. 19",IF(C493=4,"Neanderstr. 15",IF(C493=5,"Luisenstr. 3",IF(C493=6,"Lindenstr. 267",IF(C493=7,"Engerstr. 3",IF(C493=8,"Schützenstr. 20",IF(C493=9,"Stockkampstr. 47",IF(C493=10,"Driburgerstr. 8",IF(C493=11,"Kölnerstr. 261",IF(C493=12,"Merowingerstr. 17",IF(C493=13,"Borsigstr. 7",IF(C493=14,"Gerresheimer Landstr. 152",IF(C493=15,"Hoppengarten 15",IF(C493=16,"Hoppengarten 17",IF(C493=17,"Könerstr. 215",IF(C493=18,"Kölnerstr. 217",IF(C493=19,"Alte Bachstr. 25",IF(C493=20,"Kranzstr. 103",IF(C493=21,"Broicherdorfstr. 3",IF(C493=22,"Grafenberger Allee 235",IF(C493=23,"Börnestr. 2",IF(C493=24,"Angerbenden 31",IF(C493=25,"Koppelskamp 10",IF(C493=26,"Koppelskamp 12",IF(C493=27,"Koppelskamp 14",IF(C493=28,"Koppelskamp 8",IF(C493=29,"Bismarckstr. 109",IF(C493=30,"Memelstr. 43",IF(C493=31,"Angermunderstr. 30",IF(C493=32,"Koppelskamp 5",IF(C493=33,"Koppelskamp 5a",IF(C493=34,"Koppelskamp 7",IF(C493=35,"Lintorfer Waldstr. 6",IF(C493=36,"Lintorfer Waldstr. 8",IF(C493=37,"Lintorfer Waldstr. 10",IF(C493=38,"Koloniestr. 205",IF(C493=39,"Metzerstr. 28",IF(C493=40,"Metzerstr. 28a",IF(C493=41,"Spichernstr. 27",IF(C493=42,"Metzerstr. 17",IF(C493=43,"Neumühlerstr. 35",IF(C493=44,"Neumühlerstr. 37",IF(C493=45,"Neumühlerstr. 39",IF(C493=46,"Neumühlerstr. 41",IF(C493=47,"Mündelheimerstr. 3-5",IF(C493=48,"Mendelsohnstr. 3"))))))))))))))))))))))))))))))))))))))))))))))))</f>
        <v>Bismarckstr. 109</v>
      </c>
      <c r="E493" s="17" t="s">
        <v>202</v>
      </c>
      <c r="F493" s="17" t="s">
        <v>470</v>
      </c>
      <c r="G493" s="18" t="s">
        <v>1220</v>
      </c>
      <c r="H493" s="17" t="s">
        <v>13</v>
      </c>
      <c r="I493" s="17" t="s">
        <v>900</v>
      </c>
      <c r="J493" s="17" t="s">
        <v>900</v>
      </c>
    </row>
    <row r="494" spans="1:10" ht="80" x14ac:dyDescent="0.2">
      <c r="A494" s="16">
        <v>246</v>
      </c>
      <c r="B494" s="35">
        <v>43399</v>
      </c>
      <c r="C494" s="105">
        <v>19</v>
      </c>
      <c r="D494" s="17" t="s">
        <v>585</v>
      </c>
      <c r="E494" s="17" t="s">
        <v>591</v>
      </c>
      <c r="F494" s="17" t="s">
        <v>17</v>
      </c>
      <c r="G494" s="18" t="s">
        <v>593</v>
      </c>
      <c r="H494" s="17" t="s">
        <v>23</v>
      </c>
      <c r="I494" s="17" t="s">
        <v>119</v>
      </c>
      <c r="J494" s="17" t="s">
        <v>119</v>
      </c>
    </row>
    <row r="495" spans="1:10" ht="16" x14ac:dyDescent="0.2">
      <c r="A495" s="16">
        <v>246</v>
      </c>
      <c r="B495" s="34">
        <v>43714</v>
      </c>
      <c r="C495" s="105">
        <v>12</v>
      </c>
      <c r="D495" s="17" t="str">
        <f>IF(C495=1,"Roßstr. 9",IF(C495=2,"Pfalzstr. 17",IF(C495=3,"Schlossstr. 19",IF(C495=4,"Neanderstr. 15",IF(C495=5,"Luisenstr. 3",IF(C495=6,"Lindenstr. 267",IF(C495=7,"Engerstr. 3",IF(C495=8,"Schützenstr. 20",IF(C495=9,"Stockkampstr. 47",IF(C495=10,"Driburgerstr. 8",IF(C495=11,"Kölnerstr. 261",IF(C495=12,"Merowingerstr. 17",IF(C495=13,"Borsigstr. 7",IF(C495=14,"Gerresheimer Landstr. 152",IF(C495=15,"Hoppengarten 15",IF(C495=16,"Hoppengarten 17",IF(C495=17,"Könerstr. 215",IF(C495=18,"Kölnerstr. 217",IF(C495=19,"Alte Bachstr. 25",IF(C495=20,"Kranzstr. 103",IF(C495=21,"Broicherdorfstr. 3",IF(C495=22,"Grafenberger Allee 235",IF(C495=23,"Börnestr. 2",IF(C495=24,"Angerbenden 31",IF(C495=25,"Koppelskamp 10",IF(C495=26,"Koppelskamp 12",IF(C495=27,"Koppelskamp 14",IF(C495=28,"Koppelskamp 8",IF(C495=29,"Bismarckstr. 109",IF(C495=30,"Memelstr. 43",IF(C495=31,"Angermunderstr. 30",IF(C495=32,"Koppelskamp 5",IF(C495=33,"Koppelskamp 5a",IF(C495=34,"Koppelskamp 7",IF(C495=35,"Lintorfer Waldstr. 6",IF(C495=36,"Lintorfer Waldstr. 8",IF(C495=37,"Lintorfer Waldstr. 10",IF(C495=38,"Koloniestr. 205",IF(C495=39,"Metzerstr. 28",IF(C495=40,"Metzerstr. 28a",IF(C495=41,"Spichernstr. 27",IF(C495=42,"Metzerstr. 17",IF(C495=43,"Neumühlerstr. 35",IF(C495=44,"Neumühlerstr. 37",IF(C495=45,"Neumühlerstr. 39",IF(C495=46,"Neumühlerstr. 41",IF(C495=47,"Mündelheimerstr. 3-5",IF(C495=48,"Mendelsohnstr. 3"))))))))))))))))))))))))))))))))))))))))))))))))</f>
        <v>Merowingerstr. 17</v>
      </c>
      <c r="E495" s="17" t="s">
        <v>643</v>
      </c>
      <c r="F495" s="17" t="s">
        <v>644</v>
      </c>
      <c r="G495" s="18" t="s">
        <v>294</v>
      </c>
      <c r="H495" s="17" t="s">
        <v>119</v>
      </c>
      <c r="I495" s="17" t="s">
        <v>181</v>
      </c>
      <c r="J495" s="21" t="s">
        <v>181</v>
      </c>
    </row>
    <row r="496" spans="1:10" ht="16" x14ac:dyDescent="0.2">
      <c r="A496" s="16">
        <v>247</v>
      </c>
      <c r="B496" s="35">
        <v>43402</v>
      </c>
      <c r="C496" s="105">
        <v>38</v>
      </c>
      <c r="D496" s="17" t="s">
        <v>594</v>
      </c>
      <c r="E496" s="17" t="s">
        <v>595</v>
      </c>
      <c r="F496" s="17" t="s">
        <v>108</v>
      </c>
      <c r="G496" s="32" t="s">
        <v>290</v>
      </c>
      <c r="H496" s="17" t="s">
        <v>58</v>
      </c>
      <c r="I496" s="57" t="s">
        <v>14</v>
      </c>
      <c r="J496" s="21" t="s">
        <v>14</v>
      </c>
    </row>
    <row r="497" spans="1:11" ht="16" x14ac:dyDescent="0.2">
      <c r="A497" s="16">
        <v>247</v>
      </c>
      <c r="B497" s="34">
        <v>43714</v>
      </c>
      <c r="C497" s="105">
        <v>7</v>
      </c>
      <c r="D497" s="17" t="str">
        <f>IF(C497=1,"Roßstr. 9",IF(C497=2,"Pfalzstr. 17",IF(C497=3,"Schlossstr. 19",IF(C497=4,"Neanderstr. 15",IF(C497=5,"Luisenstr. 3",IF(C497=6,"Lindenstr. 267",IF(C497=7,"Engerstr. 3",IF(C497=8,"Schützenstr. 20",IF(C497=9,"Stockkampstr. 47",IF(C497=10,"Driburgerstr. 8",IF(C497=11,"Kölnerstr. 261",IF(C497=12,"Merowingerstr. 17",IF(C497=13,"Borsigstr. 7",IF(C497=14,"Gerresheimer Landstr. 152",IF(C497=15,"Hoppengarten 15",IF(C497=16,"Hoppengarten 17",IF(C497=17,"Könerstr. 215",IF(C497=18,"Kölnerstr. 217",IF(C497=19,"Alte Bachstr. 25",IF(C497=20,"Kranzstr. 103",IF(C497=21,"Broicherdorfstr. 3",IF(C497=22,"Grafenberger Allee 235",IF(C497=23,"Börnestr. 2",IF(C497=24,"Angerbenden 31",IF(C497=25,"Koppelskamp 10",IF(C497=26,"Koppelskamp 12",IF(C497=27,"Koppelskamp 14",IF(C497=28,"Koppelskamp 8",IF(C497=29,"Bismarckstr. 109",IF(C497=30,"Memelstr. 43",IF(C497=31,"Angermunderstr. 30",IF(C497=32,"Koppelskamp 5",IF(C497=33,"Koppelskamp 5a",IF(C497=34,"Koppelskamp 7",IF(C497=35,"Lintorfer Waldstr. 6",IF(C497=36,"Lintorfer Waldstr. 8",IF(C497=37,"Lintorfer Waldstr. 10",IF(C497=38,"Koloniestr. 205",IF(C497=39,"Metzerstr. 28",IF(C497=40,"Metzerstr. 28a",IF(C497=41,"Spichernstr. 27",IF(C497=42,"Metzerstr. 17",IF(C497=43,"Neumühlerstr. 35",IF(C497=44,"Neumühlerstr. 37",IF(C497=45,"Neumühlerstr. 39",IF(C497=46,"Neumühlerstr. 41",IF(C497=47,"Mündelheimerstr. 3-5",IF(C497=48,"Mendelsohnstr. 3"))))))))))))))))))))))))))))))))))))))))))))))))</f>
        <v>Engerstr. 3</v>
      </c>
      <c r="E497" s="17" t="s">
        <v>344</v>
      </c>
      <c r="F497" s="17" t="s">
        <v>1194</v>
      </c>
      <c r="G497" s="18" t="s">
        <v>1221</v>
      </c>
      <c r="H497" s="17" t="s">
        <v>13</v>
      </c>
      <c r="I497" s="17" t="s">
        <v>19</v>
      </c>
      <c r="J497" s="39" t="s">
        <v>19</v>
      </c>
      <c r="K497" s="40"/>
    </row>
    <row r="498" spans="1:11" x14ac:dyDescent="0.2">
      <c r="A498" s="16">
        <v>248</v>
      </c>
      <c r="B498" s="35">
        <v>43402</v>
      </c>
      <c r="C498" s="105">
        <v>46</v>
      </c>
      <c r="D498" s="17" t="s">
        <v>573</v>
      </c>
      <c r="E498" s="17"/>
      <c r="F498" s="17"/>
      <c r="G498" s="59" t="s">
        <v>596</v>
      </c>
      <c r="H498" s="17" t="s">
        <v>23</v>
      </c>
      <c r="I498" s="17" t="s">
        <v>14</v>
      </c>
      <c r="J498" s="17" t="s">
        <v>14</v>
      </c>
    </row>
    <row r="499" spans="1:11" ht="16" x14ac:dyDescent="0.2">
      <c r="A499" s="16">
        <v>248</v>
      </c>
      <c r="B499" s="34">
        <v>43717</v>
      </c>
      <c r="C499" s="105">
        <v>11</v>
      </c>
      <c r="D499" s="17" t="str">
        <f>IF(C499=1,"Roßstr. 9",IF(C499=2,"Pfalzstr. 17",IF(C499=3,"Schlossstr. 19",IF(C499=4,"Neanderstr. 15",IF(C499=5,"Luisenstr. 3",IF(C499=6,"Lindenstr. 267",IF(C499=7,"Engerstr. 3",IF(C499=8,"Schützenstr. 20",IF(C499=9,"Stockkampstr. 47",IF(C499=10,"Driburgerstr. 8",IF(C499=11,"Kölnerstr. 261",IF(C499=12,"Merowingerstr. 17",IF(C499=13,"Borsigstr. 7",IF(C499=14,"Gerresheimer Landstr. 152",IF(C499=15,"Hoppengarten 15",IF(C499=16,"Hoppengarten 17",IF(C499=17,"Könerstr. 215",IF(C499=18,"Kölnerstr. 217",IF(C499=19,"Alte Bachstr. 25",IF(C499=20,"Kranzstr. 103",IF(C499=21,"Broicherdorfstr. 3",IF(C499=22,"Grafenberger Allee 235",IF(C499=23,"Börnestr. 2",IF(C499=24,"Angerbenden 31",IF(C499=25,"Koppelskamp 10",IF(C499=26,"Koppelskamp 12",IF(C499=27,"Koppelskamp 14",IF(C499=28,"Koppelskamp 8",IF(C499=29,"Bismarckstr. 109",IF(C499=30,"Memelstr. 43",IF(C499=31,"Angermunderstr. 30",IF(C499=32,"Koppelskamp 5",IF(C499=33,"Koppelskamp 5a",IF(C499=34,"Koppelskamp 7",IF(C499=35,"Lintorfer Waldstr. 6",IF(C499=36,"Lintorfer Waldstr. 8",IF(C499=37,"Lintorfer Waldstr. 10",IF(C499=38,"Koloniestr. 205",IF(C499=39,"Metzerstr. 28",IF(C499=40,"Metzerstr. 28a",IF(C499=41,"Spichernstr. 27",IF(C499=42,"Metzerstr. 17",IF(C499=43,"Neumühlerstr. 35",IF(C499=44,"Neumühlerstr. 37",IF(C499=45,"Neumühlerstr. 39",IF(C499=46,"Neumühlerstr. 41",IF(C499=47,"Mündelheimerstr. 3-5",IF(C499=48,"Mendelsohnstr. 3"))))))))))))))))))))))))))))))))))))))))))))))))</f>
        <v>Kölnerstr. 261</v>
      </c>
      <c r="E499" s="17" t="s">
        <v>78</v>
      </c>
      <c r="F499" s="17"/>
      <c r="G499" s="18" t="s">
        <v>1222</v>
      </c>
      <c r="H499" s="17" t="s">
        <v>58</v>
      </c>
      <c r="I499" s="17" t="s">
        <v>14</v>
      </c>
      <c r="J499" s="21"/>
    </row>
    <row r="500" spans="1:11" ht="16" x14ac:dyDescent="0.2">
      <c r="A500" s="16">
        <v>249</v>
      </c>
      <c r="B500" s="35">
        <v>43402</v>
      </c>
      <c r="C500" s="105">
        <v>2</v>
      </c>
      <c r="D500" s="17" t="s">
        <v>597</v>
      </c>
      <c r="E500" s="17" t="s">
        <v>60</v>
      </c>
      <c r="F500" s="17" t="s">
        <v>266</v>
      </c>
      <c r="G500" s="18" t="s">
        <v>598</v>
      </c>
      <c r="H500" s="17" t="s">
        <v>58</v>
      </c>
      <c r="I500" s="17" t="s">
        <v>14</v>
      </c>
      <c r="J500" s="17" t="s">
        <v>14</v>
      </c>
    </row>
    <row r="501" spans="1:11" ht="16" x14ac:dyDescent="0.2">
      <c r="A501" s="16">
        <v>249</v>
      </c>
      <c r="B501" s="34">
        <v>43717</v>
      </c>
      <c r="C501" s="105">
        <v>25</v>
      </c>
      <c r="D501" s="17" t="str">
        <f>IF(C501=1,"Roßstr. 9",IF(C501=2,"Pfalzstr. 17",IF(C501=3,"Schlossstr. 19",IF(C501=4,"Neanderstr. 15",IF(C501=5,"Luisenstr. 3",IF(C501=6,"Lindenstr. 267",IF(C501=7,"Engerstr. 3",IF(C501=8,"Schützenstr. 20",IF(C501=9,"Stockkampstr. 47",IF(C501=10,"Driburgerstr. 8",IF(C501=11,"Kölnerstr. 261",IF(C501=12,"Merowingerstr. 17",IF(C501=13,"Borsigstr. 7",IF(C501=14,"Gerresheimer Landstr. 152",IF(C501=15,"Hoppengarten 15",IF(C501=16,"Hoppengarten 17",IF(C501=17,"Könerstr. 215",IF(C501=18,"Kölnerstr. 217",IF(C501=19,"Alte Bachstr. 25",IF(C501=20,"Kranzstr. 103",IF(C501=21,"Broicherdorfstr. 3",IF(C501=22,"Grafenberger Allee 235",IF(C501=23,"Börnestr. 2",IF(C501=24,"Angerbenden 31",IF(C501=25,"Koppelskamp 10",IF(C501=26,"Koppelskamp 12",IF(C501=27,"Koppelskamp 14",IF(C501=28,"Koppelskamp 8",IF(C501=29,"Bismarckstr. 109",IF(C501=30,"Memelstr. 43",IF(C501=31,"Angermunderstr. 30",IF(C501=32,"Koppelskamp 5",IF(C501=33,"Koppelskamp 5a",IF(C501=34,"Koppelskamp 7",IF(C501=35,"Lintorfer Waldstr. 6",IF(C501=36,"Lintorfer Waldstr. 8",IF(C501=37,"Lintorfer Waldstr. 10",IF(C501=38,"Koloniestr. 205",IF(C501=39,"Metzerstr. 28",IF(C501=40,"Metzerstr. 28a",IF(C501=41,"Spichernstr. 27",IF(C501=42,"Metzerstr. 17",IF(C501=43,"Neumühlerstr. 35",IF(C501=44,"Neumühlerstr. 37",IF(C501=45,"Neumühlerstr. 39",IF(C501=46,"Neumühlerstr. 41",IF(C501=47,"Mündelheimerstr. 3-5",IF(C501=48,"Mendelsohnstr. 3"))))))))))))))))))))))))))))))))))))))))))))))))</f>
        <v>Koppelskamp 10</v>
      </c>
      <c r="E501" s="17" t="s">
        <v>36</v>
      </c>
      <c r="F501" s="17"/>
      <c r="G501" s="18" t="s">
        <v>1223</v>
      </c>
      <c r="H501" s="17" t="s">
        <v>13</v>
      </c>
      <c r="I501" s="17" t="s">
        <v>14</v>
      </c>
      <c r="J501" s="21" t="s">
        <v>14</v>
      </c>
    </row>
    <row r="502" spans="1:11" ht="16" x14ac:dyDescent="0.2">
      <c r="A502" s="16">
        <v>250</v>
      </c>
      <c r="B502" s="35">
        <v>43402</v>
      </c>
      <c r="C502" s="105">
        <v>15</v>
      </c>
      <c r="D502" s="17" t="s">
        <v>398</v>
      </c>
      <c r="E502" s="17" t="s">
        <v>21</v>
      </c>
      <c r="F502" s="17"/>
      <c r="G502" s="18" t="s">
        <v>70</v>
      </c>
      <c r="H502" s="17" t="s">
        <v>58</v>
      </c>
      <c r="I502" s="17" t="s">
        <v>14</v>
      </c>
      <c r="J502" s="17" t="s">
        <v>14</v>
      </c>
    </row>
    <row r="503" spans="1:11" ht="48" x14ac:dyDescent="0.2">
      <c r="A503" s="16">
        <v>250</v>
      </c>
      <c r="B503" s="34">
        <v>43718</v>
      </c>
      <c r="C503" s="105">
        <v>42</v>
      </c>
      <c r="D503" s="17" t="str">
        <f>IF(C503=1,"Roßstr. 9",IF(C503=2,"Pfalzstr. 17",IF(C503=3,"Schlossstr. 19",IF(C503=4,"Neanderstr. 15",IF(C503=5,"Luisenstr. 3",IF(C503=6,"Lindenstr. 267",IF(C503=7,"Engerstr. 3",IF(C503=8,"Schützenstr. 20",IF(C503=9,"Stockkampstr. 47",IF(C503=10,"Driburgerstr. 8",IF(C503=11,"Kölnerstr. 261",IF(C503=12,"Merowingerstr. 17",IF(C503=13,"Borsigstr. 7",IF(C503=14,"Gerresheimer Landstr. 152",IF(C503=15,"Hoppengarten 15",IF(C503=16,"Hoppengarten 17",IF(C503=17,"Könerstr. 215",IF(C503=18,"Kölnerstr. 217",IF(C503=19,"Alte Bachstr. 25",IF(C503=20,"Kranzstr. 103",IF(C503=21,"Broicherdorfstr. 3",IF(C503=22,"Grafenberger Allee 235",IF(C503=23,"Börnestr. 2",IF(C503=24,"Angerbenden 31",IF(C503=25,"Koppelskamp 10",IF(C503=26,"Koppelskamp 12",IF(C503=27,"Koppelskamp 14",IF(C503=28,"Koppelskamp 8",IF(C503=29,"Bismarckstr. 109",IF(C503=30,"Memelstr. 43",IF(C503=31,"Angermunderstr. 30",IF(C503=32,"Koppelskamp 5",IF(C503=33,"Koppelskamp 5a",IF(C503=34,"Koppelskamp 7",IF(C503=35,"Lintorfer Waldstr. 6",IF(C503=36,"Lintorfer Waldstr. 8",IF(C503=37,"Lintorfer Waldstr. 10",IF(C503=38,"Koloniestr. 205",IF(C503=39,"Metzerstr. 28",IF(C503=40,"Metzerstr. 28a",IF(C503=41,"Spichernstr. 27",IF(C503=42,"Metzerstr. 17",IF(C503=43,"Neumühlerstr. 35",IF(C503=44,"Neumühlerstr. 37",IF(C503=45,"Neumühlerstr. 39",IF(C503=46,"Neumühlerstr. 41",IF(C503=47,"Mündelheimerstr. 3-5",IF(C503=48,"Mendelsohnstr. 3"))))))))))))))))))))))))))))))))))))))))))))))))</f>
        <v>Metzerstr. 17</v>
      </c>
      <c r="E503" s="17" t="s">
        <v>1224</v>
      </c>
      <c r="F503" s="17" t="s">
        <v>1225</v>
      </c>
      <c r="G503" s="18" t="s">
        <v>1226</v>
      </c>
      <c r="H503" s="17" t="s">
        <v>23</v>
      </c>
      <c r="I503" s="17" t="s">
        <v>232</v>
      </c>
      <c r="J503" s="21" t="s">
        <v>232</v>
      </c>
    </row>
    <row r="504" spans="1:11" ht="16" x14ac:dyDescent="0.2">
      <c r="A504" s="16">
        <v>251</v>
      </c>
      <c r="B504" s="34">
        <v>43719</v>
      </c>
      <c r="C504" s="105">
        <v>38</v>
      </c>
      <c r="D504" s="17" t="str">
        <f>IF(C504=1,"Roßstr. 9",IF(C504=2,"Pfalzstr. 17",IF(C504=3,"Schlossstr. 19",IF(C504=4,"Neanderstr. 15",IF(C504=5,"Luisenstr. 3",IF(C504=6,"Lindenstr. 267",IF(C504=7,"Engerstr. 3",IF(C504=8,"Schützenstr. 20",IF(C504=9,"Stockkampstr. 47",IF(C504=10,"Driburgerstr. 8",IF(C504=11,"Kölnerstr. 261",IF(C504=12,"Merowingerstr. 17",IF(C504=13,"Borsigstr. 7",IF(C504=14,"Gerresheimer Landstr. 152",IF(C504=15,"Hoppengarten 15",IF(C504=16,"Hoppengarten 17",IF(C504=17,"Könerstr. 215",IF(C504=18,"Kölnerstr. 217",IF(C504=19,"Alte Bachstr. 25",IF(C504=20,"Kranzstr. 103",IF(C504=21,"Broicherdorfstr. 3",IF(C504=22,"Grafenberger Allee 235",IF(C504=23,"Börnestr. 2",IF(C504=24,"Angerbenden 31",IF(C504=25,"Koppelskamp 10",IF(C504=26,"Koppelskamp 12",IF(C504=27,"Koppelskamp 14",IF(C504=28,"Koppelskamp 8",IF(C504=29,"Bismarckstr. 109",IF(C504=30,"Memelstr. 43",IF(C504=31,"Angermunderstr. 30",IF(C504=32,"Koppelskamp 5",IF(C504=33,"Koppelskamp 5a",IF(C504=34,"Koppelskamp 7",IF(C504=35,"Lintorfer Waldstr. 6",IF(C504=36,"Lintorfer Waldstr. 8",IF(C504=37,"Lintorfer Waldstr. 10",IF(C504=38,"Koloniestr. 205",IF(C504=39,"Metzerstr. 28",IF(C504=40,"Metzerstr. 28a",IF(C504=41,"Spichernstr. 27",IF(C504=42,"Metzerstr. 17",IF(C504=43,"Neumühlerstr. 35",IF(C504=44,"Neumühlerstr. 37",IF(C504=45,"Neumühlerstr. 39",IF(C504=46,"Neumühlerstr. 41",IF(C504=47,"Mündelheimerstr. 3-5",IF(C504=48,"Mendelsohnstr. 3"))))))))))))))))))))))))))))))))))))))))))))))))</f>
        <v>Koloniestr. 205</v>
      </c>
      <c r="E504" s="17" t="s">
        <v>263</v>
      </c>
      <c r="F504" s="17" t="s">
        <v>523</v>
      </c>
      <c r="G504" s="18" t="s">
        <v>1227</v>
      </c>
      <c r="H504" s="17" t="s">
        <v>13</v>
      </c>
      <c r="I504" s="17" t="s">
        <v>14</v>
      </c>
      <c r="J504" s="17" t="s">
        <v>14</v>
      </c>
    </row>
    <row r="505" spans="1:11" ht="16" x14ac:dyDescent="0.2">
      <c r="A505" s="16">
        <v>251</v>
      </c>
      <c r="B505" s="35">
        <v>43410</v>
      </c>
      <c r="C505" s="105">
        <v>23</v>
      </c>
      <c r="D505" s="17" t="s">
        <v>419</v>
      </c>
      <c r="E505" s="17" t="s">
        <v>263</v>
      </c>
      <c r="F505" s="17" t="s">
        <v>599</v>
      </c>
      <c r="G505" s="18" t="s">
        <v>468</v>
      </c>
      <c r="H505" s="17" t="s">
        <v>13</v>
      </c>
      <c r="I505" s="29" t="s">
        <v>181</v>
      </c>
      <c r="J505" s="29" t="s">
        <v>181</v>
      </c>
    </row>
    <row r="506" spans="1:11" ht="32" x14ac:dyDescent="0.2">
      <c r="A506" s="16">
        <v>252</v>
      </c>
      <c r="B506" s="35">
        <v>43410</v>
      </c>
      <c r="C506" s="105">
        <v>19</v>
      </c>
      <c r="D506" s="17" t="s">
        <v>585</v>
      </c>
      <c r="E506" s="17" t="s">
        <v>600</v>
      </c>
      <c r="F506" s="17" t="s">
        <v>289</v>
      </c>
      <c r="G506" s="18" t="s">
        <v>601</v>
      </c>
      <c r="H506" s="17" t="s">
        <v>23</v>
      </c>
      <c r="I506" s="17" t="s">
        <v>14</v>
      </c>
      <c r="J506" s="21" t="s">
        <v>14</v>
      </c>
    </row>
    <row r="507" spans="1:11" ht="16" x14ac:dyDescent="0.2">
      <c r="A507" s="16">
        <v>252</v>
      </c>
      <c r="B507" s="34">
        <v>43719</v>
      </c>
      <c r="C507" s="105">
        <v>42</v>
      </c>
      <c r="D507" s="17" t="str">
        <f>IF(C507=1,"Roßstr. 9",IF(C507=2,"Pfalzstr. 17",IF(C507=3,"Schlossstr. 19",IF(C507=4,"Neanderstr. 15",IF(C507=5,"Luisenstr. 3",IF(C507=6,"Lindenstr. 267",IF(C507=7,"Engerstr. 3",IF(C507=8,"Schützenstr. 20",IF(C507=9,"Stockkampstr. 47",IF(C507=10,"Driburgerstr. 8",IF(C507=11,"Kölnerstr. 261",IF(C507=12,"Merowingerstr. 17",IF(C507=13,"Borsigstr. 7",IF(C507=14,"Gerresheimer Landstr. 152",IF(C507=15,"Hoppengarten 15",IF(C507=16,"Hoppengarten 17",IF(C507=17,"Könerstr. 215",IF(C507=18,"Kölnerstr. 217",IF(C507=19,"Alte Bachstr. 25",IF(C507=20,"Kranzstr. 103",IF(C507=21,"Broicherdorfstr. 3",IF(C507=22,"Grafenberger Allee 235",IF(C507=23,"Börnestr. 2",IF(C507=24,"Angerbenden 31",IF(C507=25,"Koppelskamp 10",IF(C507=26,"Koppelskamp 12",IF(C507=27,"Koppelskamp 14",IF(C507=28,"Koppelskamp 8",IF(C507=29,"Bismarckstr. 109",IF(C507=30,"Memelstr. 43",IF(C507=31,"Angermunderstr. 30",IF(C507=32,"Koppelskamp 5",IF(C507=33,"Koppelskamp 5a",IF(C507=34,"Koppelskamp 7",IF(C507=35,"Lintorfer Waldstr. 6",IF(C507=36,"Lintorfer Waldstr. 8",IF(C507=37,"Lintorfer Waldstr. 10",IF(C507=38,"Koloniestr. 205",IF(C507=39,"Metzerstr. 28",IF(C507=40,"Metzerstr. 28a",IF(C507=41,"Spichernstr. 27",IF(C507=42,"Metzerstr. 17",IF(C507=43,"Neumühlerstr. 35",IF(C507=44,"Neumühlerstr. 37",IF(C507=45,"Neumühlerstr. 39",IF(C507=46,"Neumühlerstr. 41",IF(C507=47,"Mündelheimerstr. 3-5",IF(C507=48,"Mendelsohnstr. 3"))))))))))))))))))))))))))))))))))))))))))))))))</f>
        <v>Metzerstr. 17</v>
      </c>
      <c r="E507" s="17" t="s">
        <v>637</v>
      </c>
      <c r="F507" s="17" t="s">
        <v>1228</v>
      </c>
      <c r="G507" s="18" t="s">
        <v>1229</v>
      </c>
      <c r="H507" s="17" t="s">
        <v>13</v>
      </c>
      <c r="I507" s="17" t="s">
        <v>900</v>
      </c>
      <c r="J507" s="17" t="s">
        <v>252</v>
      </c>
    </row>
    <row r="508" spans="1:11" ht="16" x14ac:dyDescent="0.2">
      <c r="A508" s="16">
        <v>253</v>
      </c>
      <c r="B508" s="34">
        <v>43720</v>
      </c>
      <c r="C508" s="105">
        <v>3</v>
      </c>
      <c r="D508" s="17" t="str">
        <f>IF(C508=1,"Roßstr. 9",IF(C508=2,"Pfalzstr. 17",IF(C508=3,"Schlossstr. 19",IF(C508=4,"Neanderstr. 15",IF(C508=5,"Luisenstr. 3",IF(C508=6,"Lindenstr. 267",IF(C508=7,"Engerstr. 3",IF(C508=8,"Schützenstr. 20",IF(C508=9,"Stockkampstr. 47",IF(C508=10,"Driburgerstr. 8",IF(C508=11,"Kölnerstr. 261",IF(C508=12,"Merowingerstr. 17",IF(C508=13,"Borsigstr. 7",IF(C508=14,"Gerresheimer Landstr. 152",IF(C508=15,"Hoppengarten 15",IF(C508=16,"Hoppengarten 17",IF(C508=17,"Könerstr. 215",IF(C508=18,"Kölnerstr. 217",IF(C508=19,"Alte Bachstr. 25",IF(C508=20,"Kranzstr. 103",IF(C508=21,"Broicherdorfstr. 3",IF(C508=22,"Grafenberger Allee 235",IF(C508=23,"Börnestr. 2",IF(C508=24,"Angerbenden 31",IF(C508=25,"Koppelskamp 10",IF(C508=26,"Koppelskamp 12",IF(C508=27,"Koppelskamp 14",IF(C508=28,"Koppelskamp 8",IF(C508=29,"Bismarckstr. 109",IF(C508=30,"Memelstr. 43",IF(C508=31,"Angermunderstr. 30",IF(C508=32,"Koppelskamp 5",IF(C508=33,"Koppelskamp 5a",IF(C508=34,"Koppelskamp 7",IF(C508=35,"Lintorfer Waldstr. 6",IF(C508=36,"Lintorfer Waldstr. 8",IF(C508=37,"Lintorfer Waldstr. 10",IF(C508=38,"Koloniestr. 205",IF(C508=39,"Metzerstr. 28",IF(C508=40,"Metzerstr. 28a",IF(C508=41,"Spichernstr. 27",IF(C508=42,"Metzerstr. 17",IF(C508=43,"Neumühlerstr. 35",IF(C508=44,"Neumühlerstr. 37",IF(C508=45,"Neumühlerstr. 39",IF(C508=46,"Neumühlerstr. 41",IF(C508=47,"Mündelheimerstr. 3-5",IF(C508=48,"Mendelsohnstr. 3"))))))))))))))))))))))))))))))))))))))))))))))))</f>
        <v>Schlossstr. 19</v>
      </c>
      <c r="E508" s="17" t="s">
        <v>174</v>
      </c>
      <c r="F508" s="17" t="s">
        <v>1230</v>
      </c>
      <c r="G508" s="18" t="s">
        <v>1231</v>
      </c>
      <c r="H508" s="17" t="s">
        <v>58</v>
      </c>
      <c r="I508" s="17" t="s">
        <v>14</v>
      </c>
      <c r="J508" s="17" t="s">
        <v>14</v>
      </c>
    </row>
    <row r="509" spans="1:11" ht="16" x14ac:dyDescent="0.2">
      <c r="A509" s="16">
        <v>253</v>
      </c>
      <c r="B509" s="35">
        <v>43411</v>
      </c>
      <c r="C509" s="105">
        <v>5</v>
      </c>
      <c r="D509" s="17" t="s">
        <v>164</v>
      </c>
      <c r="E509" s="17" t="s">
        <v>256</v>
      </c>
      <c r="F509" s="17" t="s">
        <v>602</v>
      </c>
      <c r="G509" s="18" t="s">
        <v>603</v>
      </c>
      <c r="H509" s="17" t="s">
        <v>13</v>
      </c>
      <c r="I509" s="17" t="s">
        <v>181</v>
      </c>
      <c r="J509" s="23" t="s">
        <v>181</v>
      </c>
    </row>
    <row r="510" spans="1:11" ht="16" x14ac:dyDescent="0.2">
      <c r="A510" s="16">
        <v>254</v>
      </c>
      <c r="B510" s="35">
        <v>43412</v>
      </c>
      <c r="C510" s="105">
        <v>1</v>
      </c>
      <c r="D510" s="17" t="s">
        <v>390</v>
      </c>
      <c r="E510" s="17" t="s">
        <v>202</v>
      </c>
      <c r="F510" s="114" t="s">
        <v>604</v>
      </c>
      <c r="G510" s="23" t="s">
        <v>605</v>
      </c>
      <c r="H510" s="17" t="s">
        <v>13</v>
      </c>
      <c r="I510" s="17" t="s">
        <v>14</v>
      </c>
      <c r="J510" s="17" t="s">
        <v>14</v>
      </c>
    </row>
    <row r="511" spans="1:11" ht="16" x14ac:dyDescent="0.2">
      <c r="A511" s="16">
        <v>254</v>
      </c>
      <c r="B511" s="34">
        <v>43712</v>
      </c>
      <c r="C511" s="105">
        <v>34</v>
      </c>
      <c r="D511" s="17" t="str">
        <f>IF(C511=1,"Roßstr. 9",IF(C511=2,"Pfalzstr. 17",IF(C511=3,"Schlossstr. 19",IF(C511=4,"Neanderstr. 15",IF(C511=5,"Luisenstr. 3",IF(C511=6,"Lindenstr. 267",IF(C511=7,"Engerstr. 3",IF(C511=8,"Schützenstr. 20",IF(C511=9,"Stockkampstr. 47",IF(C511=10,"Driburgerstr. 8",IF(C511=11,"Kölnerstr. 261",IF(C511=12,"Merowingerstr. 17",IF(C511=13,"Borsigstr. 7",IF(C511=14,"Gerresheimer Landstr. 152",IF(C511=15,"Hoppengarten 15",IF(C511=16,"Hoppengarten 17",IF(C511=17,"Könerstr. 215",IF(C511=18,"Kölnerstr. 217",IF(C511=19,"Alte Bachstr. 25",IF(C511=20,"Kranzstr. 103",IF(C511=21,"Broicherdorfstr. 3",IF(C511=22,"Grafenberger Allee 235",IF(C511=23,"Börnestr. 2",IF(C511=24,"Angerbenden 31",IF(C511=25,"Koppelskamp 10",IF(C511=26,"Koppelskamp 12",IF(C511=27,"Koppelskamp 14",IF(C511=28,"Koppelskamp 8",IF(C511=29,"Bismarckstr. 109",IF(C511=30,"Memelstr. 43",IF(C511=31,"Angermunderstr. 30",IF(C511=32,"Koppelskamp 5",IF(C511=33,"Koppelskamp 5a",IF(C511=34,"Koppelskamp 7",IF(C511=35,"Lintorfer Waldstr. 6",IF(C511=36,"Lintorfer Waldstr. 8",IF(C511=37,"Lintorfer Waldstr. 10",IF(C511=38,"Koloniestr. 205",IF(C511=39,"Metzerstr. 28",IF(C511=40,"Metzerstr. 28a",IF(C511=41,"Spichernstr. 27",IF(C511=42,"Metzerstr. 17",IF(C511=43,"Neumühlerstr. 35",IF(C511=44,"Neumühlerstr. 37",IF(C511=45,"Neumühlerstr. 39",IF(C511=46,"Neumühlerstr. 41",IF(C511=47,"Mündelheimerstr. 3-5",IF(C511=48,"Mendelsohnstr. 3"))))))))))))))))))))))))))))))))))))))))))))))))</f>
        <v>Koppelskamp 7</v>
      </c>
      <c r="E511" s="17" t="s">
        <v>693</v>
      </c>
      <c r="F511" s="17" t="s">
        <v>315</v>
      </c>
      <c r="G511" s="18" t="s">
        <v>1232</v>
      </c>
      <c r="H511" s="17" t="s">
        <v>13</v>
      </c>
      <c r="I511" s="17" t="s">
        <v>933</v>
      </c>
      <c r="J511" s="17" t="s">
        <v>933</v>
      </c>
    </row>
    <row r="512" spans="1:11" ht="16" x14ac:dyDescent="0.2">
      <c r="A512" s="16">
        <v>255</v>
      </c>
      <c r="B512" s="35">
        <v>43412</v>
      </c>
      <c r="C512" s="105">
        <v>34</v>
      </c>
      <c r="D512" s="17" t="s">
        <v>355</v>
      </c>
      <c r="E512" s="17" t="s">
        <v>60</v>
      </c>
      <c r="F512" s="17" t="s">
        <v>17</v>
      </c>
      <c r="G512" s="18" t="s">
        <v>606</v>
      </c>
      <c r="H512" s="17" t="s">
        <v>13</v>
      </c>
      <c r="I512" s="17" t="s">
        <v>306</v>
      </c>
      <c r="J512" s="17" t="s">
        <v>14</v>
      </c>
    </row>
    <row r="513" spans="1:10" ht="16" x14ac:dyDescent="0.2">
      <c r="A513" s="16">
        <v>255</v>
      </c>
      <c r="B513" s="34">
        <v>43724</v>
      </c>
      <c r="C513" s="105">
        <v>35</v>
      </c>
      <c r="D513" s="17" t="str">
        <f>IF(C513=1,"Roßstr. 9",IF(C513=2,"Pfalzstr. 17",IF(C513=3,"Schlossstr. 19",IF(C513=4,"Neanderstr. 15",IF(C513=5,"Luisenstr. 3",IF(C513=6,"Lindenstr. 267",IF(C513=7,"Engerstr. 3",IF(C513=8,"Schützenstr. 20",IF(C513=9,"Stockkampstr. 47",IF(C513=10,"Driburgerstr. 8",IF(C513=11,"Kölner Landstr. 261",IF(C513=12,"Merowingerstr. 17",IF(C513=13,"Borsigstr. 7",IF(C513=14,"Gerresheimer Landstr. 152",IF(C513=15,"Hoppengarten 15",IF(C513=16,"Hoppengarten 17",IF(C513=17,"Könerstr. 215",IF(C513=18,"Kölnerstr. 217",IF(C513=19,"Alte Bachstr. 25",IF(C513=20,"Kranzstr. 103",IF(C513=21,"Broicherdorfstr. 3",IF(C513=22,"Grafenberger Allee 235",IF(C513=23,"Börnestr. 2",IF(C513=24,"Angerbenden 31",IF(C513=25,"Koppelskamp 10",IF(C513=26,"Koppelskamp 12",IF(C513=27,"Koppelskamp 14",IF(C513=28,"Koppelskamp 8",IF(C513=29,"Bismarckstr. 109",IF(C513=30,"Memelstr. 43",IF(C513=31,"Angermunderstr. 30",IF(C513=32,"Koppelskamp 5",IF(C513=33,"Koppelskamp 5a",IF(C513=34,"Koppelskamp 7",IF(C513=35,"Lintorfer Waldstr. 6",IF(C513=36,"Lintorfer Waldstr. 8",IF(C513=37,"Lintorfer Waldstr. 10",IF(C513=38,"Koloniestr. 205",IF(C513=39,"Metzerstr. 28",IF(C513=40,"Metzerstr. 28a",IF(C513=41,"Spichernstr. 27",IF(C513=42,"Metzerstr. 17",IF(C513=43,"Neumühlerstr. 35",IF(C513=44,"Neumühlerstr. 37",IF(C513=45,"Neumühlerstr. 39",IF(C513=46,"Neumühlerstr. 41",IF(C513=47,"Mündelheimerstr. 3-5",IF(C513=48,"Mendelsohnstr. 3"))))))))))))))))))))))))))))))))))))))))))))))))</f>
        <v>Lintorfer Waldstr. 6</v>
      </c>
      <c r="E513" s="17" t="s">
        <v>197</v>
      </c>
      <c r="F513" s="17" t="s">
        <v>422</v>
      </c>
      <c r="G513" s="18" t="s">
        <v>392</v>
      </c>
      <c r="H513" s="17" t="s">
        <v>13</v>
      </c>
      <c r="I513" s="21" t="s">
        <v>423</v>
      </c>
      <c r="J513" s="21" t="s">
        <v>423</v>
      </c>
    </row>
    <row r="514" spans="1:10" ht="16" x14ac:dyDescent="0.2">
      <c r="A514" s="16">
        <v>256</v>
      </c>
      <c r="B514" s="35">
        <v>43412</v>
      </c>
      <c r="C514" s="105">
        <v>47</v>
      </c>
      <c r="D514" s="17" t="s">
        <v>228</v>
      </c>
      <c r="E514" s="17" t="s">
        <v>607</v>
      </c>
      <c r="F514" s="17" t="s">
        <v>608</v>
      </c>
      <c r="G514" s="18" t="s">
        <v>609</v>
      </c>
      <c r="H514" s="17" t="s">
        <v>13</v>
      </c>
      <c r="I514" s="17" t="s">
        <v>543</v>
      </c>
      <c r="J514" s="17" t="s">
        <v>543</v>
      </c>
    </row>
    <row r="515" spans="1:10" ht="16" x14ac:dyDescent="0.2">
      <c r="A515" s="16">
        <v>256</v>
      </c>
      <c r="B515" s="34">
        <v>43725</v>
      </c>
      <c r="C515" s="105">
        <v>13</v>
      </c>
      <c r="D515" s="17" t="str">
        <f>IF(C515=1,"Roßstr. 9",IF(C515=2,"Pfalzstr. 17",IF(C515=3,"Schlossstr. 19",IF(C515=4,"Neanderstr. 15",IF(C515=5,"Luisenstr. 3",IF(C515=6,"Lindenstr. 267",IF(C515=7,"Engerstr. 3",IF(C515=8,"Schützenstr. 20",IF(C515=9,"Stockkampstr. 47",IF(C515=10,"Driburgerstr. 8",IF(C515=11,"Kölner Landstr. 261",IF(C515=12,"Merowingerstr. 17",IF(C515=13,"Borsigstr. 7",IF(C515=14,"Gerresheimer Landstr. 152",IF(C515=15,"Hoppengarten 15",IF(C515=16,"Hoppengarten 17",IF(C515=17,"Könerstr. 215",IF(C515=18,"Kölnerstr. 217",IF(C515=19,"Alte Bachstr. 25",IF(C515=20,"Kranzstr. 103",IF(C515=21,"Broicherdorfstr. 3",IF(C515=22,"Grafenberger Allee 235",IF(C515=23,"Börnestr. 2",IF(C515=24,"Angerbenden 31",IF(C515=25,"Koppelskamp 10",IF(C515=26,"Koppelskamp 12",IF(C515=27,"Koppelskamp 14",IF(C515=28,"Koppelskamp 8",IF(C515=29,"Bismarckstr. 109",IF(C515=30,"Memelstr. 43",IF(C515=31,"Angermunderstr. 30",IF(C515=32,"Koppelskamp 5",IF(C515=33,"Koppelskamp 5a",IF(C515=34,"Koppelskamp 7",IF(C515=35,"Lintorfer Waldstr. 6",IF(C515=36,"Lintorfer Waldstr. 8",IF(C515=37,"Lintorfer Waldstr. 10",IF(C515=38,"Koloniestr. 205",IF(C515=39,"Metzerstr. 28",IF(C515=40,"Metzerstr. 28a",IF(C515=41,"Spichernstr. 27",IF(C515=42,"Metzerstr. 17",IF(C515=43,"Neumühlerstr. 35",IF(C515=44,"Neumühlerstr. 37",IF(C515=45,"Neumühlerstr. 39",IF(C515=46,"Neumühlerstr. 41",IF(C515=47,"Mündelheimerstr. 3-5",IF(C515=48,"Mendelsohnstr. 3"))))))))))))))))))))))))))))))))))))))))))))))))</f>
        <v>Borsigstr. 7</v>
      </c>
      <c r="E515" s="17" t="s">
        <v>1233</v>
      </c>
      <c r="F515" s="17" t="s">
        <v>370</v>
      </c>
      <c r="G515" s="18" t="s">
        <v>1234</v>
      </c>
      <c r="H515" s="17" t="s">
        <v>13</v>
      </c>
      <c r="I515" s="17" t="s">
        <v>119</v>
      </c>
      <c r="J515" s="42" t="s">
        <v>119</v>
      </c>
    </row>
    <row r="516" spans="1:10" ht="16" x14ac:dyDescent="0.2">
      <c r="A516" s="16">
        <v>257</v>
      </c>
      <c r="B516" s="35">
        <v>43416</v>
      </c>
      <c r="C516" s="105">
        <v>32</v>
      </c>
      <c r="D516" s="17" t="s">
        <v>39</v>
      </c>
      <c r="E516" s="17" t="s">
        <v>40</v>
      </c>
      <c r="F516" s="17" t="s">
        <v>41</v>
      </c>
      <c r="G516" s="18" t="s">
        <v>610</v>
      </c>
      <c r="H516" s="17" t="s">
        <v>13</v>
      </c>
      <c r="I516" s="17" t="s">
        <v>14</v>
      </c>
      <c r="J516" s="17" t="s">
        <v>14</v>
      </c>
    </row>
    <row r="517" spans="1:10" ht="16" x14ac:dyDescent="0.2">
      <c r="A517" s="16">
        <v>257</v>
      </c>
      <c r="B517" s="34">
        <v>43726</v>
      </c>
      <c r="C517" s="105">
        <v>45</v>
      </c>
      <c r="D517" s="17" t="str">
        <f>IF(C517=1,"Roßstr. 9",IF(C517=2,"Pfalzstr. 17",IF(C517=3,"Schlossstr. 19",IF(C517=4,"Neanderstr. 15",IF(C517=5,"Luisenstr. 3",IF(C517=6,"Lindenstr. 267",IF(C517=7,"Engerstr. 3",IF(C517=8,"Schützenstr. 20",IF(C517=9,"Stockkampstr. 47",IF(C517=10,"Driburgerstr. 8",IF(C517=11,"Kölner Landstr. 261",IF(C517=12,"Merowingerstr. 17",IF(C517=13,"Borsigstr. 7",IF(C517=14,"Gerresheimer Landstr. 152",IF(C517=15,"Hoppengarten 15",IF(C517=16,"Hoppengarten 17",IF(C517=17,"Könerstr. 215",IF(C517=18,"Kölnerstr. 217",IF(C517=19,"Alte Bachstr. 25",IF(C517=20,"Kranzstr. 103",IF(C517=21,"Broicherdorfstr. 3",IF(C517=22,"Grafenberger Allee 235",IF(C517=23,"Börnestr. 2",IF(C517=24,"Angerbenden 31",IF(C517=25,"Koppelskamp 10",IF(C517=26,"Koppelskamp 12",IF(C517=27,"Koppelskamp 14",IF(C517=28,"Koppelskamp 8",IF(C517=29,"Bismarckstr. 109",IF(C517=30,"Memelstr. 43",IF(C517=31,"Angermunderstr. 30",IF(C517=32,"Koppelskamp 5",IF(C517=33,"Koppelskamp 5a",IF(C517=34,"Koppelskamp 7",IF(C517=35,"Lintorfer Waldstr. 6",IF(C517=36,"Lintorfer Waldstr. 8",IF(C517=37,"Lintorfer Waldstr. 10",IF(C517=38,"Koloniestr. 205",IF(C517=39,"Metzerstr. 28",IF(C517=40,"Metzerstr. 28a",IF(C517=41,"Spichernstr. 27",IF(C517=42,"Metzerstr. 17",IF(C517=43,"Neumühlerstr. 35",IF(C517=44,"Neumühlerstr. 37",IF(C517=45,"Neumühlerstr. 39",IF(C517=46,"Neumühlerstr. 41",IF(C517=47,"Mündelheimerstr. 3-5",IF(C517=48,"Mendelsohnstr. 3"))))))))))))))))))))))))))))))))))))))))))))))))</f>
        <v>Neumühlerstr. 39</v>
      </c>
      <c r="E517" s="17" t="s">
        <v>358</v>
      </c>
      <c r="F517" s="17" t="s">
        <v>1110</v>
      </c>
      <c r="G517" s="32" t="s">
        <v>1235</v>
      </c>
      <c r="H517" s="17" t="s">
        <v>13</v>
      </c>
      <c r="I517" s="17" t="s">
        <v>19</v>
      </c>
      <c r="J517" s="21"/>
    </row>
    <row r="518" spans="1:10" ht="16" x14ac:dyDescent="0.2">
      <c r="A518" s="16">
        <v>258</v>
      </c>
      <c r="B518" s="35">
        <v>43417</v>
      </c>
      <c r="C518" s="105">
        <v>7</v>
      </c>
      <c r="D518" s="17" t="s">
        <v>55</v>
      </c>
      <c r="E518" s="17" t="s">
        <v>428</v>
      </c>
      <c r="F518" s="17" t="s">
        <v>467</v>
      </c>
      <c r="G518" s="18" t="s">
        <v>611</v>
      </c>
      <c r="H518" s="17" t="s">
        <v>13</v>
      </c>
      <c r="I518" s="17" t="s">
        <v>181</v>
      </c>
      <c r="J518" s="17" t="s">
        <v>181</v>
      </c>
    </row>
    <row r="519" spans="1:10" ht="32" x14ac:dyDescent="0.2">
      <c r="A519" s="16">
        <v>258</v>
      </c>
      <c r="B519" s="34">
        <v>43726</v>
      </c>
      <c r="C519" s="105">
        <v>29</v>
      </c>
      <c r="D519" s="17" t="str">
        <f>IF(C519=1,"Roßstr. 9",IF(C519=2,"Pfalzstr. 17",IF(C519=3,"Schlossstr. 19",IF(C519=4,"Neanderstr. 15",IF(C519=5,"Luisenstr. 3",IF(C519=6,"Lindenstr. 267",IF(C519=7,"Engerstr. 3",IF(C519=8,"Schützenstr. 20",IF(C519=9,"Stockkampstr. 47",IF(C519=10,"Driburgerstr. 8",IF(C519=11,"Kölner Landstr. 261",IF(C519=12,"Merowingerstr. 17",IF(C519=13,"Borsigstr. 7",IF(C519=14,"Gerresheimer Landstr. 152",IF(C519=15,"Hoppengarten 15",IF(C519=16,"Hoppengarten 17",IF(C519=17,"Könerstr. 215",IF(C519=18,"Kölnerstr. 217",IF(C519=19,"Alte Bachstr. 25",IF(C519=20,"Kranzstr. 103",IF(C519=21,"Broicherdorfstr. 3",IF(C519=22,"Grafenberger Allee 235",IF(C519=23,"Börnestr. 2",IF(C519=24,"Angerbenden 31",IF(C519=25,"Koppelskamp 10",IF(C519=26,"Koppelskamp 12",IF(C519=27,"Koppelskamp 14",IF(C519=28,"Koppelskamp 8",IF(C519=29,"Bismarckstr. 109",IF(C519=30,"Memelstr. 43",IF(C519=31,"Angermunderstr. 30",IF(C519=32,"Koppelskamp 5",IF(C519=33,"Koppelskamp 5a",IF(C519=34,"Koppelskamp 7",IF(C519=35,"Lintorfer Waldstr. 6",IF(C519=36,"Lintorfer Waldstr. 8",IF(C519=37,"Lintorfer Waldstr. 10",IF(C519=38,"Koloniestr. 205",IF(C519=39,"Metzerstr. 28",IF(C519=40,"Metzerstr. 28a",IF(C519=41,"Spichernstr. 27",IF(C519=42,"Metzerstr. 17",IF(C519=43,"Neumühlerstr. 35",IF(C519=44,"Neumühlerstr. 37",IF(C519=45,"Neumühlerstr. 39",IF(C519=46,"Neumühlerstr. 41",IF(C519=47,"Mündelheimerstr. 3-5",IF(C519=48,"Mendelsohnstr. 3"))))))))))))))))))))))))))))))))))))))))))))))))</f>
        <v>Bismarckstr. 109</v>
      </c>
      <c r="E519" s="17" t="s">
        <v>1236</v>
      </c>
      <c r="F519" s="17"/>
      <c r="G519" s="18" t="s">
        <v>1237</v>
      </c>
      <c r="H519" s="17" t="s">
        <v>58</v>
      </c>
      <c r="I519" s="17" t="s">
        <v>30</v>
      </c>
      <c r="J519" s="21" t="s">
        <v>30</v>
      </c>
    </row>
    <row r="520" spans="1:10" ht="16" x14ac:dyDescent="0.2">
      <c r="A520" s="16">
        <v>259</v>
      </c>
      <c r="B520" s="35">
        <v>43409</v>
      </c>
      <c r="C520" s="105">
        <v>7</v>
      </c>
      <c r="D520" s="17" t="s">
        <v>55</v>
      </c>
      <c r="E520" s="17" t="s">
        <v>138</v>
      </c>
      <c r="F520" s="17" t="s">
        <v>612</v>
      </c>
      <c r="G520" s="18" t="s">
        <v>613</v>
      </c>
      <c r="H520" s="17" t="s">
        <v>119</v>
      </c>
      <c r="I520" s="17" t="s">
        <v>181</v>
      </c>
      <c r="J520" s="17" t="s">
        <v>181</v>
      </c>
    </row>
    <row r="521" spans="1:10" ht="16" x14ac:dyDescent="0.2">
      <c r="A521" s="16">
        <v>259</v>
      </c>
      <c r="B521" s="34">
        <v>43726</v>
      </c>
      <c r="C521" s="105">
        <v>34</v>
      </c>
      <c r="D521" s="17" t="str">
        <f>IF(C521=1,"Roßstr. 9",IF(C521=2,"Pfalzstr. 17",IF(C521=3,"Schlossstr. 19",IF(C521=4,"Neanderstr. 15",IF(C521=5,"Luisenstr. 3",IF(C521=6,"Lindenstr. 267",IF(C521=7,"Engerstr. 3",IF(C521=8,"Schützenstr. 20",IF(C521=9,"Stockkampstr. 47",IF(C521=10,"Driburgerstr. 8",IF(C521=11,"Kölner Landstr. 261",IF(C521=12,"Merowingerstr. 17",IF(C521=13,"Borsigstr. 7",IF(C521=14,"Gerresheimer Landstr. 152",IF(C521=15,"Hoppengarten 15",IF(C521=16,"Hoppengarten 17",IF(C521=17,"Könerstr. 215",IF(C521=18,"Kölnerstr. 217",IF(C521=19,"Alte Bachstr. 25",IF(C521=20,"Kranzstr. 103",IF(C521=21,"Broicherdorfstr. 3",IF(C521=22,"Grafenberger Allee 235",IF(C521=23,"Börnestr. 2",IF(C521=24,"Angerbenden 31",IF(C521=25,"Koppelskamp 10",IF(C521=26,"Koppelskamp 12",IF(C521=27,"Koppelskamp 14",IF(C521=28,"Koppelskamp 8",IF(C521=29,"Bismarckstr. 109",IF(C521=30,"Memelstr. 43",IF(C521=31,"Angermunderstr. 30",IF(C521=32,"Koppelskamp 5",IF(C521=33,"Koppelskamp 5a",IF(C521=34,"Koppelskamp 7",IF(C521=35,"Lintorfer Waldstr. 6",IF(C521=36,"Lintorfer Waldstr. 8",IF(C521=37,"Lintorfer Waldstr. 10",IF(C521=38,"Koloniestr. 205",IF(C521=39,"Metzerstr. 28",IF(C521=40,"Metzerstr. 28a",IF(C521=41,"Spichernstr. 27",IF(C521=42,"Metzerstr. 17",IF(C521=43,"Neumühlerstr. 35",IF(C521=44,"Neumühlerstr. 37",IF(C521=45,"Neumühlerstr. 39",IF(C521=46,"Neumühlerstr. 41",IF(C521=47,"Mündelheimerstr. 3-5",IF(C521=48,"Mendelsohnstr. 3"))))))))))))))))))))))))))))))))))))))))))))))))</f>
        <v>Koppelskamp 7</v>
      </c>
      <c r="E521" s="17" t="s">
        <v>1238</v>
      </c>
      <c r="F521" s="17"/>
      <c r="G521" s="18" t="s">
        <v>1239</v>
      </c>
      <c r="H521" s="17" t="s">
        <v>58</v>
      </c>
      <c r="I521" s="17" t="s">
        <v>14</v>
      </c>
      <c r="J521" s="21" t="s">
        <v>14</v>
      </c>
    </row>
    <row r="522" spans="1:10" ht="16" x14ac:dyDescent="0.2">
      <c r="A522" s="16">
        <v>260</v>
      </c>
      <c r="B522" s="34">
        <v>43726</v>
      </c>
      <c r="C522" s="105">
        <v>46</v>
      </c>
      <c r="D522" s="17" t="str">
        <f>IF(C522=1,"Roßstr. 9",IF(C522=2,"Pfalzstr. 17",IF(C522=3,"Schlossstr. 19",IF(C522=4,"Neanderstr. 15",IF(C522=5,"Luisenstr. 3",IF(C522=6,"Lindenstr. 267",IF(C522=7,"Engerstr. 3",IF(C522=8,"Schützenstr. 20",IF(C522=9,"Stockkampstr. 47",IF(C522=10,"Driburgerstr. 8",IF(C522=11,"Kölner Landstr. 261",IF(C522=12,"Merowingerstr. 17",IF(C522=13,"Borsigstr. 7",IF(C522=14,"Gerresheimer Landstr. 152",IF(C522=15,"Hoppengarten 15",IF(C522=16,"Hoppengarten 17",IF(C522=17,"Könerstr. 215",IF(C522=18,"Kölnerstr. 217",IF(C522=19,"Alte Bachstr. 25",IF(C522=20,"Kranzstr. 103",IF(C522=21,"Broicherdorfstr. 3",IF(C522=22,"Grafenberger Allee 235",IF(C522=23,"Börnestr. 2",IF(C522=24,"Angerbenden 31",IF(C522=25,"Koppelskamp 10",IF(C522=26,"Koppelskamp 12",IF(C522=27,"Koppelskamp 14",IF(C522=28,"Koppelskamp 8",IF(C522=29,"Bismarckstr. 109",IF(C522=30,"Memelstr. 43",IF(C522=31,"Angermunderstr. 30",IF(C522=32,"Koppelskamp 5",IF(C522=33,"Koppelskamp 5a",IF(C522=34,"Koppelskamp 7",IF(C522=35,"Lintorfer Waldstr. 6",IF(C522=36,"Lintorfer Waldstr. 8",IF(C522=37,"Lintorfer Waldstr. 10",IF(C522=38,"Koloniestr. 205",IF(C522=39,"Metzerstr. 28",IF(C522=40,"Metzerstr. 28a",IF(C522=41,"Spichernstr. 27",IF(C522=42,"Metzerstr. 17",IF(C522=43,"Neumühlerstr. 35",IF(C522=44,"Neumühlerstr. 37",IF(C522=45,"Neumühlerstr. 39",IF(C522=46,"Neumühlerstr. 41",IF(C522=47,"Mündelheimerstr. 3-5",IF(C522=48,"Mendelsohnstr. 3"))))))))))))))))))))))))))))))))))))))))))))))))</f>
        <v>Neumühlerstr. 41</v>
      </c>
      <c r="E522" s="17" t="s">
        <v>129</v>
      </c>
      <c r="F522" s="17" t="s">
        <v>286</v>
      </c>
      <c r="G522" s="18" t="s">
        <v>1034</v>
      </c>
      <c r="H522" s="17" t="s">
        <v>23</v>
      </c>
      <c r="I522" s="17" t="s">
        <v>30</v>
      </c>
      <c r="J522" s="17" t="s">
        <v>30</v>
      </c>
    </row>
    <row r="523" spans="1:10" ht="16" x14ac:dyDescent="0.2">
      <c r="A523" s="16">
        <v>260</v>
      </c>
      <c r="B523" s="35">
        <v>43406</v>
      </c>
      <c r="C523" s="105">
        <v>37</v>
      </c>
      <c r="D523" s="17" t="s">
        <v>182</v>
      </c>
      <c r="E523" s="17" t="s">
        <v>466</v>
      </c>
      <c r="F523" s="17"/>
      <c r="G523" s="18" t="s">
        <v>614</v>
      </c>
      <c r="H523" s="17" t="s">
        <v>119</v>
      </c>
      <c r="I523" s="17" t="s">
        <v>181</v>
      </c>
      <c r="J523" s="17" t="s">
        <v>181</v>
      </c>
    </row>
    <row r="524" spans="1:10" ht="16" x14ac:dyDescent="0.2">
      <c r="A524" s="16">
        <v>261</v>
      </c>
      <c r="B524" s="34">
        <v>43726</v>
      </c>
      <c r="C524" s="105">
        <v>1</v>
      </c>
      <c r="D524" s="17" t="str">
        <f>IF(C524=1,"Roßstr. 9",IF(C524=2,"Pfalzstr. 17",IF(C524=3,"Schlossstr. 19",IF(C524=4,"Neanderstr. 15",IF(C524=5,"Luisenstr. 3",IF(C524=6,"Lindenstr. 267",IF(C524=7,"Engerstr. 3",IF(C524=8,"Schützenstr. 20",IF(C524=9,"Stockkampstr. 47",IF(C524=10,"Driburgerstr. 8",IF(C524=11,"Kölner Landstr. 261",IF(C524=12,"Merowingerstr. 17",IF(C524=13,"Borsigstr. 7",IF(C524=14,"Gerresheimer Landstr. 152",IF(C524=15,"Hoppengarten 15",IF(C524=16,"Hoppengarten 17",IF(C524=17,"Könerstr. 215",IF(C524=18,"Kölnerstr. 217",IF(C524=19,"Alte Bachstr. 25",IF(C524=20,"Kranzstr. 103",IF(C524=21,"Broicherdorfstr. 3",IF(C524=22,"Grafenberger Allee 235",IF(C524=23,"Börnestr. 2",IF(C524=24,"Angerbenden 31",IF(C524=25,"Koppelskamp 10",IF(C524=26,"Koppelskamp 12",IF(C524=27,"Koppelskamp 14",IF(C524=28,"Koppelskamp 8",IF(C524=29,"Bismarckstr. 109",IF(C524=30,"Memelstr. 43",IF(C524=31,"Angermunderstr. 30",IF(C524=32,"Koppelskamp 5",IF(C524=33,"Koppelskamp 5a",IF(C524=34,"Koppelskamp 7",IF(C524=35,"Lintorfer Waldstr. 6",IF(C524=36,"Lintorfer Waldstr. 8",IF(C524=37,"Lintorfer Waldstr. 10",IF(C524=38,"Koloniestr. 205",IF(C524=39,"Metzerstr. 28",IF(C524=40,"Metzerstr. 28a",IF(C524=41,"Spichernstr. 27",IF(C524=42,"Metzerstr. 17",IF(C524=43,"Neumühlerstr. 35",IF(C524=44,"Neumühlerstr. 37",IF(C524=45,"Neumühlerstr. 39",IF(C524=46,"Neumühlerstr. 41",IF(C524=47,"Mündelheimerstr. 3-5",IF(C524=48,"Mendelsohnstr. 3"))))))))))))))))))))))))))))))))))))))))))))))))</f>
        <v>Roßstr. 9</v>
      </c>
      <c r="E524" s="17" t="s">
        <v>1240</v>
      </c>
      <c r="F524" s="17"/>
      <c r="G524" s="18" t="s">
        <v>779</v>
      </c>
      <c r="H524" s="17" t="s">
        <v>58</v>
      </c>
      <c r="I524" s="17" t="s">
        <v>14</v>
      </c>
      <c r="J524" s="17" t="s">
        <v>14</v>
      </c>
    </row>
    <row r="525" spans="1:10" ht="16" x14ac:dyDescent="0.2">
      <c r="A525" s="16">
        <v>261</v>
      </c>
      <c r="B525" s="35">
        <v>43409</v>
      </c>
      <c r="C525" s="105">
        <v>4</v>
      </c>
      <c r="D525" s="17" t="s">
        <v>168</v>
      </c>
      <c r="E525" s="17" t="s">
        <v>16</v>
      </c>
      <c r="F525" s="17" t="s">
        <v>169</v>
      </c>
      <c r="G525" s="18" t="s">
        <v>615</v>
      </c>
      <c r="H525" s="17" t="s">
        <v>119</v>
      </c>
      <c r="I525" s="17" t="s">
        <v>181</v>
      </c>
      <c r="J525" s="17" t="s">
        <v>181</v>
      </c>
    </row>
    <row r="526" spans="1:10" ht="16" x14ac:dyDescent="0.2">
      <c r="A526" s="16">
        <v>262</v>
      </c>
      <c r="B526" s="34">
        <v>43727</v>
      </c>
      <c r="C526" s="105">
        <v>43</v>
      </c>
      <c r="D526" s="17" t="str">
        <f>IF(C526=1,"Roßstr. 9",IF(C526=2,"Pfalzstr. 17",IF(C526=3,"Schlossstr. 19",IF(C526=4,"Neanderstr. 15",IF(C526=5,"Luisenstr. 3",IF(C526=6,"Lindenstr. 267",IF(C526=7,"Engerstr. 3",IF(C526=8,"Schützenstr. 20",IF(C526=9,"Stockkampstr. 47",IF(C526=10,"Driburgerstr. 8",IF(C526=11,"Kölner Landstr. 261",IF(C526=12,"Merowingerstr. 17",IF(C526=13,"Borsigstr. 7",IF(C526=14,"Gerresheimer Landstr. 152",IF(C526=15,"Hoppengarten 15",IF(C526=16,"Hoppengarten 17",IF(C526=17,"Könerstr. 215",IF(C526=18,"Kölnerstr. 217",IF(C526=19,"Alte Bachstr. 25",IF(C526=20,"Kranzstr. 103",IF(C526=21,"Broicherdorfstr. 3",IF(C526=22,"Grafenberger Allee 235",IF(C526=23,"Börnestr. 2",IF(C526=24,"Angerbenden 31",IF(C526=25,"Koppelskamp 10",IF(C526=26,"Koppelskamp 12",IF(C526=27,"Koppelskamp 14",IF(C526=28,"Koppelskamp 8",IF(C526=29,"Bismarckstr. 109",IF(C526=30,"Memelstr. 43",IF(C526=31,"Angermunderstr. 30",IF(C526=32,"Koppelskamp 5",IF(C526=33,"Koppelskamp 5a",IF(C526=34,"Koppelskamp 7",IF(C526=35,"Lintorfer Waldstr. 6",IF(C526=36,"Lintorfer Waldstr. 8",IF(C526=37,"Lintorfer Waldstr. 10",IF(C526=38,"Koloniestr. 205",IF(C526=39,"Metzerstr. 28",IF(C526=40,"Metzerstr. 28a",IF(C526=41,"Spichernstr. 27",IF(C526=42,"Metzerstr. 17",IF(C526=43,"Neumühlerstr. 35",IF(C526=44,"Neumühlerstr. 37",IF(C526=45,"Neumühlerstr. 39",IF(C526=46,"Neumühlerstr. 41",IF(C526=47,"Mündelheimerstr. 3-5",IF(C526=48,"Mendelsohnstr. 3"))))))))))))))))))))))))))))))))))))))))))))))))</f>
        <v>Neumühlerstr. 35</v>
      </c>
      <c r="E526" s="17" t="s">
        <v>60</v>
      </c>
      <c r="F526" s="17" t="s">
        <v>1241</v>
      </c>
      <c r="G526" s="18" t="s">
        <v>1242</v>
      </c>
      <c r="H526" s="17" t="s">
        <v>23</v>
      </c>
      <c r="I526" s="17" t="s">
        <v>900</v>
      </c>
      <c r="J526" s="17" t="s">
        <v>900</v>
      </c>
    </row>
    <row r="527" spans="1:10" ht="16" x14ac:dyDescent="0.2">
      <c r="A527" s="16">
        <v>262</v>
      </c>
      <c r="B527" s="35">
        <v>43420</v>
      </c>
      <c r="C527" s="105">
        <v>9</v>
      </c>
      <c r="D527" s="17" t="s">
        <v>244</v>
      </c>
      <c r="E527" s="17" t="s">
        <v>358</v>
      </c>
      <c r="F527" s="17" t="s">
        <v>616</v>
      </c>
      <c r="G527" s="18" t="s">
        <v>294</v>
      </c>
      <c r="H527" s="17" t="s">
        <v>13</v>
      </c>
      <c r="I527" s="17" t="s">
        <v>181</v>
      </c>
      <c r="J527" s="17" t="s">
        <v>181</v>
      </c>
    </row>
    <row r="528" spans="1:10" ht="16" x14ac:dyDescent="0.2">
      <c r="A528" s="16">
        <v>263</v>
      </c>
      <c r="B528" s="35">
        <v>43423</v>
      </c>
      <c r="C528" s="105">
        <v>15</v>
      </c>
      <c r="D528" s="17" t="s">
        <v>398</v>
      </c>
      <c r="E528" s="17" t="s">
        <v>409</v>
      </c>
      <c r="F528" s="17"/>
      <c r="G528" s="18" t="s">
        <v>70</v>
      </c>
      <c r="H528" s="17" t="s">
        <v>23</v>
      </c>
      <c r="I528" s="17" t="s">
        <v>14</v>
      </c>
      <c r="J528" s="17" t="s">
        <v>14</v>
      </c>
    </row>
    <row r="529" spans="1:10" ht="16" x14ac:dyDescent="0.2">
      <c r="A529" s="16">
        <v>263</v>
      </c>
      <c r="B529" s="34">
        <v>43731</v>
      </c>
      <c r="C529" s="105">
        <v>34</v>
      </c>
      <c r="D529" s="17" t="str">
        <f>IF(C529=1,"Roßstr. 9",IF(C529=2,"Pfalzstr. 17",IF(C529=3,"Schlossstr. 19",IF(C529=4,"Neanderstr. 15",IF(C529=5,"Luisenstr. 3",IF(C529=6,"Lindenstr. 267",IF(C529=7,"Engerstr. 3",IF(C529=8,"Schützenstr. 20",IF(C529=9,"Stockkampstr. 47",IF(C529=10,"Driburgerstr. 8",IF(C529=11,"Kölner Landstr. 261",IF(C529=12,"Merowingerstr. 17",IF(C529=13,"Borsigstr. 7",IF(C529=14,"Gerresheimer Landstr. 152",IF(C529=15,"Hoppengarten 15",IF(C529=16,"Hoppengarten 17",IF(C529=17,"Könerstr. 215",IF(C529=18,"Kölnerstr. 217",IF(C529=19,"Alte Bachstr. 25",IF(C529=20,"Kranzstr. 103",IF(C529=21,"Broicherdorfstr. 3",IF(C529=22,"Grafenberger Allee 235",IF(C529=23,"Börnestr. 2",IF(C529=24,"Angerbenden 31",IF(C529=25,"Koppelskamp 10",IF(C529=26,"Koppelskamp 12",IF(C529=27,"Koppelskamp 14",IF(C529=28,"Koppelskamp 8",IF(C529=29,"Bismarckstr. 109",IF(C529=30,"Memelstr. 43",IF(C529=31,"Angermunderstr. 30",IF(C529=32,"Koppelskamp 5",IF(C529=33,"Koppelskamp 5a",IF(C529=34,"Koppelskamp 7",IF(C529=35,"Lintorfer Waldstr. 6",IF(C529=36,"Lintorfer Waldstr. 8",IF(C529=37,"Lintorfer Waldstr. 10",IF(C529=38,"Koloniestr. 205",IF(C529=39,"Metzerstr. 28",IF(C529=40,"Metzerstr. 28a",IF(C529=41,"Spichernstr. 27",IF(C529=42,"Metzerstr. 17",IF(C529=43,"Neumühlerstr. 35",IF(C529=44,"Neumühlerstr. 37",IF(C529=45,"Neumühlerstr. 39",IF(C529=46,"Neumühlerstr. 41",IF(C529=47,"Mündelheimerstr. 3-5",IF(C529=48,"Mendelsohnstr. 3"))))))))))))))))))))))))))))))))))))))))))))))))</f>
        <v>Koppelskamp 7</v>
      </c>
      <c r="E529" s="17" t="s">
        <v>685</v>
      </c>
      <c r="F529" s="17" t="s">
        <v>1243</v>
      </c>
      <c r="G529" s="18" t="s">
        <v>1244</v>
      </c>
      <c r="H529" s="17" t="s">
        <v>58</v>
      </c>
      <c r="I529" s="17" t="s">
        <v>14</v>
      </c>
      <c r="J529" s="21" t="s">
        <v>14</v>
      </c>
    </row>
    <row r="530" spans="1:10" ht="16" x14ac:dyDescent="0.2">
      <c r="A530" s="16">
        <v>264</v>
      </c>
      <c r="B530" s="35">
        <v>43423</v>
      </c>
      <c r="C530" s="105">
        <v>22</v>
      </c>
      <c r="D530" s="17" t="s">
        <v>173</v>
      </c>
      <c r="E530" s="17" t="s">
        <v>129</v>
      </c>
      <c r="F530" s="17" t="s">
        <v>451</v>
      </c>
      <c r="G530" s="18" t="s">
        <v>617</v>
      </c>
      <c r="H530" s="17" t="s">
        <v>23</v>
      </c>
      <c r="I530" s="17" t="s">
        <v>14</v>
      </c>
      <c r="J530" s="17" t="s">
        <v>14</v>
      </c>
    </row>
    <row r="531" spans="1:10" ht="16" x14ac:dyDescent="0.2">
      <c r="A531" s="16">
        <v>264</v>
      </c>
      <c r="B531" s="34">
        <v>43732</v>
      </c>
      <c r="C531" s="105">
        <v>11</v>
      </c>
      <c r="D531" s="17" t="str">
        <f>IF(C531=1,"Roßstr. 9",IF(C531=2,"Pfalzstr. 17",IF(C531=3,"Schlossstr. 19",IF(C531=4,"Neanderstr. 15",IF(C531=5,"Luisenstr. 3",IF(C531=6,"Lindenstr. 267",IF(C531=7,"Engerstr. 3",IF(C531=8,"Schützenstr. 20",IF(C531=9,"Stockkampstr. 47",IF(C531=10,"Driburgerstr. 8",IF(C531=11,"Kölner Landstr. 261",IF(C531=12,"Merowingerstr. 17",IF(C531=13,"Borsigstr. 7",IF(C531=14,"Gerresheimer Landstr. 152",IF(C531=15,"Hoppengarten 15",IF(C531=16,"Hoppengarten 17",IF(C531=17,"Könerstr. 215",IF(C531=18,"Kölnerstr. 217",IF(C531=19,"Alte Bachstr. 25",IF(C531=20,"Kranzstr. 103",IF(C531=21,"Broicherdorfstr. 3",IF(C531=22,"Grafenberger Allee 235",IF(C531=23,"Börnestr. 2",IF(C531=24,"Angerbenden 31",IF(C531=25,"Koppelskamp 10",IF(C531=26,"Koppelskamp 12",IF(C531=27,"Koppelskamp 14",IF(C531=28,"Koppelskamp 8",IF(C531=29,"Bismarckstr. 109",IF(C531=30,"Memelstr. 43",IF(C531=31,"Angermunderstr. 30",IF(C531=32,"Koppelskamp 5",IF(C531=33,"Koppelskamp 5a",IF(C531=34,"Koppelskamp 7",IF(C531=35,"Lintorfer Waldstr. 6",IF(C531=36,"Lintorfer Waldstr. 8",IF(C531=37,"Lintorfer Waldstr. 10",IF(C531=38,"Koloniestr. 205",IF(C531=39,"Metzerstr. 28",IF(C531=40,"Metzerstr. 28a",IF(C531=41,"Spichernstr. 27",IF(C531=42,"Metzerstr. 17",IF(C531=43,"Neumühlerstr. 35",IF(C531=44,"Neumühlerstr. 37",IF(C531=45,"Neumühlerstr. 39",IF(C531=46,"Neumühlerstr. 41",IF(C531=47,"Mündelheimerstr. 3-5",IF(C531=48,"Mendelsohnstr. 3"))))))))))))))))))))))))))))))))))))))))))))))))</f>
        <v>Kölner Landstr. 261</v>
      </c>
      <c r="E531" s="17" t="s">
        <v>735</v>
      </c>
      <c r="F531" s="17" t="s">
        <v>302</v>
      </c>
      <c r="G531" s="18" t="s">
        <v>1245</v>
      </c>
      <c r="H531" s="17" t="s">
        <v>58</v>
      </c>
      <c r="I531" s="17" t="s">
        <v>14</v>
      </c>
      <c r="J531" s="21" t="s">
        <v>14</v>
      </c>
    </row>
    <row r="532" spans="1:10" ht="16" x14ac:dyDescent="0.2">
      <c r="A532" s="16">
        <v>265</v>
      </c>
      <c r="B532" s="35">
        <v>43423</v>
      </c>
      <c r="C532" s="105">
        <v>8</v>
      </c>
      <c r="D532" s="17" t="s">
        <v>500</v>
      </c>
      <c r="E532" s="17" t="s">
        <v>149</v>
      </c>
      <c r="F532" s="17" t="s">
        <v>618</v>
      </c>
      <c r="G532" s="18" t="s">
        <v>619</v>
      </c>
      <c r="H532" s="17" t="s">
        <v>119</v>
      </c>
      <c r="I532" s="58" t="s">
        <v>312</v>
      </c>
      <c r="J532" s="58" t="s">
        <v>312</v>
      </c>
    </row>
    <row r="533" spans="1:10" ht="32" x14ac:dyDescent="0.2">
      <c r="A533" s="16">
        <v>265</v>
      </c>
      <c r="B533" s="34">
        <v>43734</v>
      </c>
      <c r="C533" s="105">
        <v>26</v>
      </c>
      <c r="D533" s="17" t="str">
        <f>IF(C533=1,"Roßstr. 9",IF(C533=2,"Pfalzstr. 17",IF(C533=3,"Schlossstr. 19",IF(C533=4,"Neanderstr. 15",IF(C533=5,"Luisenstr. 3",IF(C533=6,"Lindenstr. 267",IF(C533=7,"Engerstr. 3",IF(C533=8,"Schützenstr. 20",IF(C533=9,"Stockkampstr. 47",IF(C533=10,"Driburgerstr. 8",IF(C533=11,"Kölner Landstr. 261",IF(C533=12,"Merowingerstr. 17",IF(C533=13,"Borsigstr. 7",IF(C533=14,"Gerresheimer Landstr. 152",IF(C533=15,"Hoppengarten 15",IF(C533=16,"Hoppengarten 17",IF(C533=17,"Könerstr. 215",IF(C533=18,"Kölnerstr. 217",IF(C533=19,"Alte Bachstr. 25",IF(C533=20,"Kranzstr. 103",IF(C533=21,"Broicherdorfstr. 3",IF(C533=22,"Grafenberger Allee 235",IF(C533=23,"Börnestr. 2",IF(C533=24,"Angerbenden 31",IF(C533=25,"Koppelskamp 10",IF(C533=26,"Koppelskamp 12",IF(C533=27,"Koppelskamp 14",IF(C533=28,"Koppelskamp 8",IF(C533=29,"Bismarckstr. 109",IF(C533=30,"Memelstr. 43",IF(C533=31,"Angermunderstr. 30",IF(C533=32,"Koppelskamp 5",IF(C533=33,"Koppelskamp 5a",IF(C533=34,"Koppelskamp 7",IF(C533=35,"Lintorfer Waldstr. 6",IF(C533=36,"Lintorfer Waldstr. 8",IF(C533=37,"Lintorfer Waldstr. 10",IF(C533=38,"Koloniestr. 205",IF(C533=39,"Metzerstr. 28",IF(C533=40,"Metzerstr. 28a",IF(C533=41,"Spichernstr. 27",IF(C533=42,"Metzerstr. 17",IF(C533=43,"Neumühlerstr. 35",IF(C533=44,"Neumühlerstr. 37",IF(C533=45,"Neumühlerstr. 39",IF(C533=46,"Neumühlerstr. 41",IF(C533=47,"Mündelheimerstr. 3-5",IF(C533=48,"Mendelsohnstr. 3"))))))))))))))))))))))))))))))))))))))))))))))))</f>
        <v>Koppelskamp 12</v>
      </c>
      <c r="E533" s="17" t="s">
        <v>162</v>
      </c>
      <c r="F533" s="17" t="s">
        <v>17</v>
      </c>
      <c r="G533" s="18" t="s">
        <v>1246</v>
      </c>
      <c r="H533" s="17" t="s">
        <v>13</v>
      </c>
      <c r="I533" s="17" t="s">
        <v>119</v>
      </c>
      <c r="J533" s="17" t="s">
        <v>900</v>
      </c>
    </row>
    <row r="534" spans="1:10" ht="16" x14ac:dyDescent="0.2">
      <c r="A534" s="16">
        <v>266</v>
      </c>
      <c r="B534" s="35">
        <v>43425</v>
      </c>
      <c r="C534" s="105">
        <v>34</v>
      </c>
      <c r="D534" s="17" t="s">
        <v>355</v>
      </c>
      <c r="E534" s="17" t="s">
        <v>60</v>
      </c>
      <c r="F534" s="17" t="s">
        <v>17</v>
      </c>
      <c r="G534" s="18" t="s">
        <v>620</v>
      </c>
      <c r="H534" s="17" t="s">
        <v>13</v>
      </c>
      <c r="I534" s="17" t="s">
        <v>19</v>
      </c>
      <c r="J534" s="17" t="s">
        <v>19</v>
      </c>
    </row>
    <row r="535" spans="1:10" ht="16" x14ac:dyDescent="0.2">
      <c r="A535" s="16">
        <v>266</v>
      </c>
      <c r="B535" s="34">
        <v>43734</v>
      </c>
      <c r="C535" s="105">
        <v>26</v>
      </c>
      <c r="D535" s="17" t="str">
        <f>IF(C535=1,"Roßstr. 9",IF(C535=2,"Pfalzstr. 17",IF(C535=3,"Schlossstr. 19",IF(C535=4,"Neanderstr. 15",IF(C535=5,"Luisenstr. 3",IF(C535=6,"Lindenstr. 267",IF(C535=7,"Engerstr. 3",IF(C535=8,"Schützenstr. 20",IF(C535=9,"Stockkampstr. 47",IF(C535=10,"Driburgerstr. 8",IF(C535=11,"Kölner Landstr. 261",IF(C535=12,"Merowingerstr. 17",IF(C535=13,"Borsigstr. 7",IF(C535=14,"Gerresheimer Landstr. 152",IF(C535=15,"Hoppengarten 15",IF(C535=16,"Hoppengarten 17",IF(C535=17,"Könerstr. 215",IF(C535=18,"Kölnerstr. 217",IF(C535=19,"Alte Bachstr. 25",IF(C535=20,"Kranzstr. 103",IF(C535=21,"Broicherdorfstr. 3",IF(C535=22,"Grafenberger Allee 235",IF(C535=23,"Börnestr. 2",IF(C535=24,"Angerbenden 31",IF(C535=25,"Koppelskamp 10",IF(C535=26,"Koppelskamp 12",IF(C535=27,"Koppelskamp 14",IF(C535=28,"Koppelskamp 8",IF(C535=29,"Bismarckstr. 109",IF(C535=30,"Memelstr. 43",IF(C535=31,"Angermunderstr. 30",IF(C535=32,"Koppelskamp 5",IF(C535=33,"Koppelskamp 5a",IF(C535=34,"Koppelskamp 7",IF(C535=35,"Lintorfer Waldstr. 6",IF(C535=36,"Lintorfer Waldstr. 8",IF(C535=37,"Lintorfer Waldstr. 10",IF(C535=38,"Koloniestr. 205",IF(C535=39,"Metzerstr. 28",IF(C535=40,"Metzerstr. 28a",IF(C535=41,"Spichernstr. 27",IF(C535=42,"Metzerstr. 17",IF(C535=43,"Neumühlerstr. 35",IF(C535=44,"Neumühlerstr. 37",IF(C535=45,"Neumühlerstr. 39",IF(C535=46,"Neumühlerstr. 41",IF(C535=47,"Mündelheimerstr. 3-5",IF(C535=48,"Mendelsohnstr. 3"))))))))))))))))))))))))))))))))))))))))))))))))</f>
        <v>Koppelskamp 12</v>
      </c>
      <c r="E535" s="17" t="s">
        <v>10</v>
      </c>
      <c r="F535" s="17" t="s">
        <v>17</v>
      </c>
      <c r="G535" s="18" t="s">
        <v>1247</v>
      </c>
      <c r="H535" s="17" t="s">
        <v>13</v>
      </c>
      <c r="I535" s="17" t="s">
        <v>14</v>
      </c>
      <c r="J535" s="21" t="s">
        <v>14</v>
      </c>
    </row>
    <row r="536" spans="1:10" ht="48" x14ac:dyDescent="0.2">
      <c r="A536" s="16">
        <v>267</v>
      </c>
      <c r="B536" s="35">
        <v>43425</v>
      </c>
      <c r="C536" s="105">
        <v>29</v>
      </c>
      <c r="D536" s="17" t="s">
        <v>98</v>
      </c>
      <c r="E536" s="17" t="s">
        <v>621</v>
      </c>
      <c r="F536" s="17" t="s">
        <v>622</v>
      </c>
      <c r="G536" s="18" t="s">
        <v>1248</v>
      </c>
      <c r="H536" s="17" t="s">
        <v>58</v>
      </c>
      <c r="I536" s="17" t="s">
        <v>14</v>
      </c>
      <c r="J536" s="17" t="s">
        <v>14</v>
      </c>
    </row>
    <row r="537" spans="1:10" ht="16" x14ac:dyDescent="0.2">
      <c r="A537" s="16">
        <v>267</v>
      </c>
      <c r="B537" s="34">
        <v>43734</v>
      </c>
      <c r="C537" s="105">
        <v>26</v>
      </c>
      <c r="D537" s="17" t="str">
        <f>IF(C537=1,"Roßstr. 9",IF(C537=2,"Pfalzstr. 17",IF(C537=3,"Schlossstr. 19",IF(C537=4,"Neanderstr. 15",IF(C537=5,"Luisenstr. 3",IF(C537=6,"Lindenstr. 267",IF(C537=7,"Engerstr. 3",IF(C537=8,"Schützenstr. 20",IF(C537=9,"Stockkampstr. 47",IF(C537=10,"Driburgerstr. 8",IF(C537=11,"Kölner Landstr. 261",IF(C537=12,"Merowingerstr. 17",IF(C537=13,"Borsigstr. 7",IF(C537=14,"Gerresheimer Landstr. 152",IF(C537=15,"Hoppengarten 15",IF(C537=16,"Hoppengarten 17",IF(C537=17,"Könerstr. 215",IF(C537=18,"Kölnerstr. 217",IF(C537=19,"Alte Bachstr. 25",IF(C537=20,"Kranzstr. 103",IF(C537=21,"Broicherdorfstr. 3",IF(C537=22,"Grafenberger Allee 235",IF(C537=23,"Börnestr. 2",IF(C537=24,"Angerbenden 31",IF(C537=25,"Koppelskamp 10",IF(C537=26,"Koppelskamp 12",IF(C537=27,"Koppelskamp 14",IF(C537=28,"Koppelskamp 8",IF(C537=29,"Bismarckstr. 109",IF(C537=30,"Memelstr. 43",IF(C537=31,"Angermunderstr. 30",IF(C537=32,"Koppelskamp 5",IF(C537=33,"Koppelskamp 5a",IF(C537=34,"Koppelskamp 7",IF(C537=35,"Lintorfer Waldstr. 6",IF(C537=36,"Lintorfer Waldstr. 8",IF(C537=37,"Lintorfer Waldstr. 10",IF(C537=38,"Koloniestr. 205",IF(C537=39,"Metzerstr. 28",IF(C537=40,"Metzerstr. 28a",IF(C537=41,"Spichernstr. 27",IF(C537=42,"Metzerstr. 17",IF(C537=43,"Neumühlerstr. 35",IF(C537=44,"Neumühlerstr. 37",IF(C537=45,"Neumühlerstr. 39",IF(C537=46,"Neumühlerstr. 41",IF(C537=47,"Mündelheimerstr. 3-5",IF(C537=48,"Mendelsohnstr. 3"))))))))))))))))))))))))))))))))))))))))))))))))</f>
        <v>Koppelskamp 12</v>
      </c>
      <c r="E537" s="17" t="s">
        <v>10</v>
      </c>
      <c r="F537" s="17" t="s">
        <v>17</v>
      </c>
      <c r="G537" s="18" t="s">
        <v>1249</v>
      </c>
      <c r="H537" s="17" t="s">
        <v>13</v>
      </c>
      <c r="I537" s="17" t="s">
        <v>921</v>
      </c>
      <c r="J537" s="17" t="s">
        <v>921</v>
      </c>
    </row>
    <row r="538" spans="1:10" ht="16" x14ac:dyDescent="0.2">
      <c r="A538" s="16">
        <v>268</v>
      </c>
      <c r="B538" s="35">
        <v>43426</v>
      </c>
      <c r="C538" s="105">
        <v>20</v>
      </c>
      <c r="D538" s="17" t="s">
        <v>100</v>
      </c>
      <c r="E538" s="17" t="s">
        <v>480</v>
      </c>
      <c r="F538" s="17" t="s">
        <v>481</v>
      </c>
      <c r="G538" s="18" t="s">
        <v>624</v>
      </c>
      <c r="H538" s="17" t="s">
        <v>23</v>
      </c>
      <c r="I538" s="17" t="s">
        <v>14</v>
      </c>
      <c r="J538" s="17" t="s">
        <v>14</v>
      </c>
    </row>
    <row r="539" spans="1:10" ht="16" x14ac:dyDescent="0.2">
      <c r="A539" s="16">
        <v>268</v>
      </c>
      <c r="B539" s="34">
        <v>43731</v>
      </c>
      <c r="C539" s="105">
        <v>26</v>
      </c>
      <c r="D539" s="17" t="str">
        <f>IF(C539=1,"Roßstr. 9",IF(C539=2,"Pfalzstr. 17",IF(C539=3,"Schlossstr. 19",IF(C539=4,"Neanderstr. 15",IF(C539=5,"Luisenstr. 3",IF(C539=6,"Lindenstr. 267",IF(C539=7,"Engerstr. 3",IF(C539=8,"Schützenstr. 20",IF(C539=9,"Stockkampstr. 47",IF(C539=10,"Driburgerstr. 8",IF(C539=11,"Kölner Landstr. 261",IF(C539=12,"Merowingerstr. 17",IF(C539=13,"Borsigstr. 7",IF(C539=14,"Gerresheimer Landstr. 152",IF(C539=15,"Hoppengarten 15",IF(C539=16,"Hoppengarten 17",IF(C539=17,"Könerstr. 215",IF(C539=18,"Kölnerstr. 217",IF(C539=19,"Alte Bachstr. 25",IF(C539=20,"Kranzstr. 103",IF(C539=21,"Broicherdorfstr. 3",IF(C539=22,"Grafenberger Allee 235",IF(C539=23,"Börnestr. 2",IF(C539=24,"Angerbenden 31",IF(C539=25,"Koppelskamp 10",IF(C539=26,"Koppelskamp 12",IF(C539=27,"Koppelskamp 14",IF(C539=28,"Koppelskamp 8",IF(C539=29,"Bismarckstr. 109",IF(C539=30,"Memelstr. 43",IF(C539=31,"Angermunderstr. 30",IF(C539=32,"Koppelskamp 5",IF(C539=33,"Koppelskamp 5a",IF(C539=34,"Koppelskamp 7",IF(C539=35,"Lintorfer Waldstr. 6",IF(C539=36,"Lintorfer Waldstr. 8",IF(C539=37,"Lintorfer Waldstr. 10",IF(C539=38,"Koloniestr. 205",IF(C539=39,"Metzerstr. 28",IF(C539=40,"Metzerstr. 28a",IF(C539=41,"Spichernstr. 27",IF(C539=42,"Metzerstr. 17",IF(C539=43,"Neumühlerstr. 35",IF(C539=44,"Neumühlerstr. 37",IF(C539=45,"Neumühlerstr. 39",IF(C539=46,"Neumühlerstr. 41",IF(C539=47,"Mündelheimerstr. 3-5",IF(C539=48,"Mendelsohnstr. 3"))))))))))))))))))))))))))))))))))))))))))))))))</f>
        <v>Koppelskamp 12</v>
      </c>
      <c r="E539" s="17" t="s">
        <v>1250</v>
      </c>
      <c r="F539" s="17" t="s">
        <v>1251</v>
      </c>
      <c r="G539" s="18" t="s">
        <v>1252</v>
      </c>
      <c r="H539" s="17" t="s">
        <v>13</v>
      </c>
      <c r="I539" s="17" t="s">
        <v>921</v>
      </c>
      <c r="J539" s="17" t="s">
        <v>921</v>
      </c>
    </row>
    <row r="540" spans="1:10" ht="16" x14ac:dyDescent="0.2">
      <c r="A540" s="16">
        <v>269</v>
      </c>
      <c r="B540" s="35">
        <v>43430</v>
      </c>
      <c r="C540" s="105">
        <v>15</v>
      </c>
      <c r="D540" s="17" t="s">
        <v>398</v>
      </c>
      <c r="E540" s="17" t="s">
        <v>60</v>
      </c>
      <c r="F540" s="17" t="s">
        <v>505</v>
      </c>
      <c r="G540" s="18" t="s">
        <v>625</v>
      </c>
      <c r="H540" s="17" t="s">
        <v>13</v>
      </c>
      <c r="I540" s="17" t="s">
        <v>48</v>
      </c>
      <c r="J540" s="17" t="s">
        <v>48</v>
      </c>
    </row>
    <row r="541" spans="1:10" ht="16" x14ac:dyDescent="0.2">
      <c r="A541" s="16">
        <v>269</v>
      </c>
      <c r="B541" s="34">
        <v>43735</v>
      </c>
      <c r="C541" s="105">
        <v>48</v>
      </c>
      <c r="D541" s="17" t="str">
        <f>IF(C541=1,"Roßstr. 9",IF(C541=2,"Pfalzstr. 17",IF(C541=3,"Schlossstr. 19",IF(C541=4,"Neanderstr. 15",IF(C541=5,"Luisenstr. 3",IF(C541=6,"Lindenstr. 267",IF(C541=7,"Engerstr. 3",IF(C541=8,"Schützenstr. 20",IF(C541=9,"Stockkampstr. 47",IF(C541=10,"Driburgerstr. 8",IF(C541=11,"Kölner Landstr. 261",IF(C541=12,"Merowingerstr. 17",IF(C541=13,"Borsigstr. 7",IF(C541=14,"Gerresheimer Landstr. 152",IF(C541=15,"Hoppengarten 15",IF(C541=16,"Hoppengarten 17",IF(C541=17,"Könerstr. 215",IF(C541=18,"Kölnerstr. 217",IF(C541=19,"Alte Bachstr. 25",IF(C541=20,"Kranzstr. 103",IF(C541=21,"Broicherdorfstr. 3",IF(C541=22,"Grafenberger Allee 235",IF(C541=23,"Börnestr. 2",IF(C541=24,"Angerbenden 31",IF(C541=25,"Koppelskamp 10",IF(C541=26,"Koppelskamp 12",IF(C541=27,"Koppelskamp 14",IF(C541=28,"Koppelskamp 8",IF(C541=29,"Bismarckstr. 109",IF(C541=30,"Memelstr. 43",IF(C541=31,"Angermunderstr. 30",IF(C541=32,"Koppelskamp 5",IF(C541=33,"Koppelskamp 5a",IF(C541=34,"Koppelskamp 7",IF(C541=35,"Lintorfer Waldstr. 6",IF(C541=36,"Lintorfer Waldstr. 8",IF(C541=37,"Lintorfer Waldstr. 10",IF(C541=38,"Koloniestr. 205",IF(C541=39,"Metzerstr. 28",IF(C541=40,"Metzerstr. 28a",IF(C541=41,"Spichernstr. 27",IF(C541=42,"Metzerstr. 17",IF(C541=43,"Neumühlerstr. 35",IF(C541=44,"Neumühlerstr. 37",IF(C541=45,"Neumühlerstr. 39",IF(C541=46,"Neumühlerstr. 41",IF(C541=47,"Mündelheimerstr. 3-5",IF(C541=48,"Mendelsohnstr. 3"))))))))))))))))))))))))))))))))))))))))))))))))</f>
        <v>Mendelsohnstr. 3</v>
      </c>
      <c r="E541" s="17" t="s">
        <v>1011</v>
      </c>
      <c r="F541" s="17"/>
      <c r="G541" s="18" t="s">
        <v>1253</v>
      </c>
      <c r="H541" s="17" t="s">
        <v>13</v>
      </c>
      <c r="I541" s="17" t="s">
        <v>14</v>
      </c>
      <c r="J541" s="21" t="s">
        <v>427</v>
      </c>
    </row>
    <row r="542" spans="1:10" ht="16" x14ac:dyDescent="0.2">
      <c r="A542" s="16">
        <v>270</v>
      </c>
      <c r="B542" s="34">
        <v>43430</v>
      </c>
      <c r="C542" s="105">
        <v>3</v>
      </c>
      <c r="D542" s="17" t="s">
        <v>626</v>
      </c>
      <c r="E542" s="17" t="s">
        <v>627</v>
      </c>
      <c r="F542" s="17" t="s">
        <v>321</v>
      </c>
      <c r="G542" s="18" t="s">
        <v>628</v>
      </c>
      <c r="H542" s="17" t="s">
        <v>58</v>
      </c>
      <c r="I542" s="17" t="s">
        <v>14</v>
      </c>
      <c r="J542" s="17" t="s">
        <v>14</v>
      </c>
    </row>
    <row r="543" spans="1:10" ht="16" x14ac:dyDescent="0.2">
      <c r="A543" s="16">
        <v>270</v>
      </c>
      <c r="B543" s="34">
        <v>43738</v>
      </c>
      <c r="C543" s="105">
        <v>44</v>
      </c>
      <c r="D543" s="17" t="str">
        <f>IF(C543=1,"Roßstr. 9",IF(C543=2,"Pfalzstr. 17",IF(C543=3,"Schlossstr. 19",IF(C543=4,"Neanderstr. 15",IF(C543=5,"Luisenstr. 3",IF(C543=6,"Lindenstr. 267",IF(C543=7,"Engerstr. 3",IF(C543=8,"Schützenstr. 20",IF(C543=9,"Stockkampstr. 47",IF(C543=10,"Driburgerstr. 8",IF(C543=11,"Kölner Landstr. 261",IF(C543=12,"Merowingerstr. 17",IF(C543=13,"Borsigstr. 7",IF(C543=14,"Gerresheimer Landstr. 152",IF(C543=15,"Hoppengarten 15",IF(C543=16,"Hoppengarten 17",IF(C543=17,"Könerstr. 215",IF(C543=18,"Kölnerstr. 217",IF(C543=19,"Alte Bachstr. 25",IF(C543=20,"Kranzstr. 103",IF(C543=21,"Broicherdorfstr. 3",IF(C543=22,"Grafenberger Allee 235",IF(C543=23,"Börnestr. 2",IF(C543=24,"Angerbenden 31",IF(C543=25,"Koppelskamp 10",IF(C543=26,"Koppelskamp 12",IF(C543=27,"Koppelskamp 14",IF(C543=28,"Koppelskamp 8",IF(C543=29,"Bismarckstr. 109",IF(C543=30,"Memelstr. 43",IF(C543=31,"Angermunderstr. 30",IF(C543=32,"Koppelskamp 5",IF(C543=33,"Koppelskamp 5a",IF(C543=34,"Koppelskamp 7",IF(C543=35,"Lintorfer Waldstr. 6",IF(C543=36,"Lintorfer Waldstr. 8",IF(C543=37,"Lintorfer Waldstr. 10",IF(C543=38,"Koloniestr. 205",IF(C543=39,"Metzerstr. 28",IF(C543=40,"Metzerstr. 28a",IF(C543=41,"Spichernstr. 27",IF(C543=42,"Metzerstr. 17",IF(C543=43,"Neumühlerstr. 35",IF(C543=44,"Neumühlerstr. 37",IF(C543=45,"Neumühlerstr. 39",IF(C543=46,"Neumühlerstr. 41",IF(C543=47,"Mündelheimerstr. 3-5",IF(C543=48,"Mendelsohnstr. 3"))))))))))))))))))))))))))))))))))))))))))))))))</f>
        <v>Neumühlerstr. 37</v>
      </c>
      <c r="E543" s="17" t="s">
        <v>202</v>
      </c>
      <c r="F543" s="17" t="s">
        <v>1254</v>
      </c>
      <c r="G543" s="18" t="s">
        <v>1255</v>
      </c>
      <c r="H543" s="17" t="s">
        <v>13</v>
      </c>
      <c r="I543" s="17" t="s">
        <v>900</v>
      </c>
      <c r="J543" s="21" t="s">
        <v>900</v>
      </c>
    </row>
    <row r="544" spans="1:10" ht="16" x14ac:dyDescent="0.2">
      <c r="A544" s="16">
        <v>271</v>
      </c>
      <c r="B544" s="35">
        <v>43431</v>
      </c>
      <c r="C544" s="105">
        <v>2</v>
      </c>
      <c r="D544" s="17" t="s">
        <v>597</v>
      </c>
      <c r="E544" s="17" t="s">
        <v>138</v>
      </c>
      <c r="F544" s="17" t="s">
        <v>17</v>
      </c>
      <c r="G544" s="18" t="s">
        <v>629</v>
      </c>
      <c r="H544" s="17" t="s">
        <v>13</v>
      </c>
      <c r="I544" s="17" t="s">
        <v>119</v>
      </c>
      <c r="J544" s="17" t="s">
        <v>119</v>
      </c>
    </row>
    <row r="545" spans="1:10" ht="16" x14ac:dyDescent="0.2">
      <c r="A545" s="16">
        <v>271</v>
      </c>
      <c r="B545" s="34">
        <v>43738</v>
      </c>
      <c r="C545" s="105">
        <v>28</v>
      </c>
      <c r="D545" s="17" t="str">
        <f>IF(C545="","",VLOOKUP(C545,'Objekt Aufstellung'!$A$2:$B$51,2))</f>
        <v>Koppelskamp 8</v>
      </c>
      <c r="E545" s="17" t="s">
        <v>467</v>
      </c>
      <c r="F545" s="17" t="s">
        <v>1256</v>
      </c>
      <c r="G545" s="18" t="s">
        <v>1257</v>
      </c>
      <c r="H545" s="17" t="s">
        <v>58</v>
      </c>
      <c r="I545" s="17" t="s">
        <v>900</v>
      </c>
      <c r="J545" s="21" t="s">
        <v>900</v>
      </c>
    </row>
    <row r="546" spans="1:10" ht="16" x14ac:dyDescent="0.2">
      <c r="A546" s="16">
        <v>272</v>
      </c>
      <c r="B546" s="35">
        <v>43433</v>
      </c>
      <c r="C546" s="105">
        <v>17</v>
      </c>
      <c r="D546" s="17" t="s">
        <v>116</v>
      </c>
      <c r="E546" s="17" t="s">
        <v>630</v>
      </c>
      <c r="F546" s="17" t="s">
        <v>631</v>
      </c>
      <c r="G546" s="18" t="s">
        <v>632</v>
      </c>
      <c r="H546" s="17" t="s">
        <v>23</v>
      </c>
      <c r="I546" s="17" t="s">
        <v>14</v>
      </c>
      <c r="J546" s="17" t="s">
        <v>14</v>
      </c>
    </row>
    <row r="547" spans="1:10" ht="16" x14ac:dyDescent="0.2">
      <c r="A547" s="16">
        <v>272</v>
      </c>
      <c r="B547" s="34">
        <v>43738</v>
      </c>
      <c r="C547" s="105">
        <v>22</v>
      </c>
      <c r="D547" s="17" t="str">
        <f>IF(C547="","",VLOOKUP(C547,'Objekt Aufstellung'!$A$2:$B$51,2))</f>
        <v>Grafenberger Allee 235</v>
      </c>
      <c r="E547" s="17" t="s">
        <v>174</v>
      </c>
      <c r="F547" s="17" t="s">
        <v>1258</v>
      </c>
      <c r="G547" s="18" t="s">
        <v>1259</v>
      </c>
      <c r="H547" s="17" t="s">
        <v>58</v>
      </c>
      <c r="I547" s="17" t="s">
        <v>14</v>
      </c>
      <c r="J547" s="17" t="s">
        <v>14</v>
      </c>
    </row>
    <row r="548" spans="1:10" ht="16" x14ac:dyDescent="0.2">
      <c r="A548" s="16">
        <v>273</v>
      </c>
      <c r="B548" s="34">
        <v>43739</v>
      </c>
      <c r="C548" s="105">
        <v>48</v>
      </c>
      <c r="D548" s="17" t="str">
        <f>IF(C548="","",VLOOKUP(C548,'Objekt Aufstellung'!$A$2:$B$51,2))</f>
        <v>Mendelsohnstraße 3</v>
      </c>
      <c r="E548" s="17" t="s">
        <v>208</v>
      </c>
      <c r="F548" s="17" t="s">
        <v>17</v>
      </c>
      <c r="G548" s="18" t="s">
        <v>61</v>
      </c>
      <c r="H548" s="17" t="s">
        <v>23</v>
      </c>
      <c r="I548" s="17" t="s">
        <v>13</v>
      </c>
      <c r="J548" s="17" t="s">
        <v>14</v>
      </c>
    </row>
    <row r="549" spans="1:10" ht="16" x14ac:dyDescent="0.2">
      <c r="A549" s="16">
        <v>273</v>
      </c>
      <c r="B549" s="35">
        <v>43434</v>
      </c>
      <c r="C549" s="105" t="s">
        <v>633</v>
      </c>
      <c r="D549" s="17" t="s">
        <v>634</v>
      </c>
      <c r="E549" s="17" t="s">
        <v>352</v>
      </c>
      <c r="F549" s="17"/>
      <c r="G549" s="18" t="s">
        <v>635</v>
      </c>
      <c r="H549" s="17" t="s">
        <v>13</v>
      </c>
      <c r="I549" s="21" t="s">
        <v>76</v>
      </c>
      <c r="J549" s="21" t="s">
        <v>76</v>
      </c>
    </row>
    <row r="550" spans="1:10" ht="16" x14ac:dyDescent="0.2">
      <c r="A550" s="16">
        <v>274</v>
      </c>
      <c r="B550" s="35">
        <v>43437</v>
      </c>
      <c r="C550" s="105">
        <v>16</v>
      </c>
      <c r="D550" s="17" t="s">
        <v>636</v>
      </c>
      <c r="E550" s="17" t="s">
        <v>428</v>
      </c>
      <c r="F550" s="17" t="s">
        <v>637</v>
      </c>
      <c r="G550" s="18" t="s">
        <v>638</v>
      </c>
      <c r="H550" s="17" t="s">
        <v>13</v>
      </c>
      <c r="I550" s="17" t="s">
        <v>181</v>
      </c>
      <c r="J550" s="17" t="s">
        <v>181</v>
      </c>
    </row>
    <row r="551" spans="1:10" ht="16" x14ac:dyDescent="0.2">
      <c r="A551" s="16">
        <v>274</v>
      </c>
      <c r="B551" s="34">
        <v>43740</v>
      </c>
      <c r="C551" s="105">
        <v>6</v>
      </c>
      <c r="D551" s="17" t="str">
        <f>IF(C551="","",VLOOKUP(C551,'Objekt Aufstellung'!$A$2:$B$51,2))</f>
        <v>Lindenstraße 267</v>
      </c>
      <c r="E551" s="17" t="s">
        <v>43</v>
      </c>
      <c r="F551" s="17"/>
      <c r="G551" s="18" t="s">
        <v>1260</v>
      </c>
      <c r="H551" s="17" t="s">
        <v>13</v>
      </c>
      <c r="I551" s="21" t="s">
        <v>706</v>
      </c>
      <c r="J551" s="21" t="s">
        <v>706</v>
      </c>
    </row>
    <row r="552" spans="1:10" ht="16" x14ac:dyDescent="0.2">
      <c r="A552" s="16">
        <v>275</v>
      </c>
      <c r="B552" s="35">
        <v>43438</v>
      </c>
      <c r="C552" s="105">
        <v>47</v>
      </c>
      <c r="D552" s="17" t="s">
        <v>228</v>
      </c>
      <c r="E552" s="17" t="s">
        <v>138</v>
      </c>
      <c r="F552" s="17" t="s">
        <v>261</v>
      </c>
      <c r="G552" s="18" t="s">
        <v>639</v>
      </c>
      <c r="H552" s="17" t="s">
        <v>58</v>
      </c>
      <c r="I552" s="17" t="s">
        <v>14</v>
      </c>
      <c r="J552" s="17" t="s">
        <v>114</v>
      </c>
    </row>
    <row r="553" spans="1:10" ht="16" x14ac:dyDescent="0.2">
      <c r="A553" s="16">
        <v>275</v>
      </c>
      <c r="B553" s="34">
        <v>43745</v>
      </c>
      <c r="C553" s="105">
        <v>39</v>
      </c>
      <c r="D553" s="17" t="str">
        <f>IF(C553="","",VLOOKUP(C553,'Objekt Aufstellung'!$A$2:$B$51,2))</f>
        <v>Metzer Straße 28</v>
      </c>
      <c r="E553" s="17" t="s">
        <v>637</v>
      </c>
      <c r="F553" s="17" t="s">
        <v>1261</v>
      </c>
      <c r="G553" s="18" t="s">
        <v>1262</v>
      </c>
      <c r="H553" s="17" t="s">
        <v>13</v>
      </c>
      <c r="I553" s="21" t="s">
        <v>706</v>
      </c>
      <c r="J553" s="21" t="s">
        <v>706</v>
      </c>
    </row>
    <row r="554" spans="1:10" ht="16" x14ac:dyDescent="0.2">
      <c r="A554" s="16">
        <v>276</v>
      </c>
      <c r="B554" s="35">
        <v>43439</v>
      </c>
      <c r="C554" s="105">
        <v>46</v>
      </c>
      <c r="D554" s="17" t="s">
        <v>640</v>
      </c>
      <c r="E554" s="17" t="s">
        <v>16</v>
      </c>
      <c r="F554" s="17" t="s">
        <v>641</v>
      </c>
      <c r="G554" s="18" t="s">
        <v>642</v>
      </c>
      <c r="H554" s="17" t="s">
        <v>13</v>
      </c>
      <c r="I554" s="17" t="s">
        <v>14</v>
      </c>
      <c r="J554" s="17" t="s">
        <v>14</v>
      </c>
    </row>
    <row r="555" spans="1:10" ht="16" x14ac:dyDescent="0.2">
      <c r="A555" s="16">
        <v>276</v>
      </c>
      <c r="B555" s="34">
        <v>43745</v>
      </c>
      <c r="C555" s="105">
        <v>41</v>
      </c>
      <c r="D555" s="17" t="str">
        <f>IF(C555="","",VLOOKUP(C555,'Objekt Aufstellung'!$A$2:$B$51,2))</f>
        <v>Spichernstraße 27</v>
      </c>
      <c r="E555" s="17" t="s">
        <v>637</v>
      </c>
      <c r="F555" s="17" t="s">
        <v>430</v>
      </c>
      <c r="G555" s="18" t="s">
        <v>1263</v>
      </c>
      <c r="H555" s="17" t="s">
        <v>13</v>
      </c>
      <c r="I555" s="21" t="s">
        <v>19</v>
      </c>
      <c r="J555" s="21" t="s">
        <v>252</v>
      </c>
    </row>
    <row r="556" spans="1:10" ht="16" x14ac:dyDescent="0.2">
      <c r="A556" s="16">
        <v>277</v>
      </c>
      <c r="B556" s="35">
        <v>43440</v>
      </c>
      <c r="C556" s="105">
        <v>12</v>
      </c>
      <c r="D556" s="17" t="s">
        <v>89</v>
      </c>
      <c r="E556" s="17" t="s">
        <v>643</v>
      </c>
      <c r="F556" s="17" t="s">
        <v>644</v>
      </c>
      <c r="G556" s="18" t="s">
        <v>645</v>
      </c>
      <c r="H556" s="17" t="s">
        <v>463</v>
      </c>
      <c r="I556" s="17" t="s">
        <v>14</v>
      </c>
      <c r="J556" s="17" t="s">
        <v>14</v>
      </c>
    </row>
    <row r="557" spans="1:10" ht="16" x14ac:dyDescent="0.2">
      <c r="A557" s="16">
        <v>277</v>
      </c>
      <c r="B557" s="34">
        <v>43745</v>
      </c>
      <c r="C557" s="105">
        <v>24</v>
      </c>
      <c r="D557" s="17" t="str">
        <f>IF(C557="","",VLOOKUP(C557,'Objekt Aufstellung'!$A$2:$B$51,2))</f>
        <v>Angerbenden 31</v>
      </c>
      <c r="E557" s="17" t="s">
        <v>637</v>
      </c>
      <c r="F557" s="17" t="s">
        <v>497</v>
      </c>
      <c r="G557" s="18" t="s">
        <v>1264</v>
      </c>
      <c r="H557" s="17" t="s">
        <v>13</v>
      </c>
      <c r="I557" s="17" t="s">
        <v>900</v>
      </c>
      <c r="J557" s="21" t="s">
        <v>900</v>
      </c>
    </row>
    <row r="558" spans="1:10" ht="16" x14ac:dyDescent="0.2">
      <c r="A558" s="16">
        <v>278</v>
      </c>
      <c r="B558" s="34">
        <v>43745</v>
      </c>
      <c r="C558" s="105">
        <v>36</v>
      </c>
      <c r="D558" s="17" t="str">
        <f>IF(C558="","",VLOOKUP(C558,'Objekt Aufstellung'!$A$2:$B$51,2))</f>
        <v>Lintorfer Waldstraße 8</v>
      </c>
      <c r="E558" s="17" t="s">
        <v>467</v>
      </c>
      <c r="F558" s="17" t="s">
        <v>17</v>
      </c>
      <c r="G558" s="18" t="s">
        <v>1265</v>
      </c>
      <c r="H558" s="17" t="s">
        <v>1266</v>
      </c>
      <c r="I558" s="17" t="s">
        <v>14</v>
      </c>
      <c r="J558" s="17" t="s">
        <v>1267</v>
      </c>
    </row>
    <row r="559" spans="1:10" ht="16" x14ac:dyDescent="0.2">
      <c r="A559" s="16">
        <v>278</v>
      </c>
      <c r="B559" s="35">
        <v>43424</v>
      </c>
      <c r="C559" s="105">
        <v>37</v>
      </c>
      <c r="D559" s="17" t="s">
        <v>646</v>
      </c>
      <c r="E559" s="17" t="s">
        <v>86</v>
      </c>
      <c r="F559" s="17" t="s">
        <v>302</v>
      </c>
      <c r="G559" s="18" t="s">
        <v>647</v>
      </c>
      <c r="H559" s="17" t="s">
        <v>119</v>
      </c>
      <c r="I559" s="23" t="s">
        <v>181</v>
      </c>
      <c r="J559" s="17" t="s">
        <v>181</v>
      </c>
    </row>
    <row r="560" spans="1:10" ht="32" x14ac:dyDescent="0.2">
      <c r="A560" s="16">
        <v>279</v>
      </c>
      <c r="B560" s="34">
        <v>43746</v>
      </c>
      <c r="C560" s="105">
        <v>10</v>
      </c>
      <c r="D560" s="17" t="str">
        <f>IF(C560="","",VLOOKUP(C560,'Objekt Aufstellung'!$A$2:$B$51,2))</f>
        <v>Driburger Straße 8</v>
      </c>
      <c r="E560" s="17" t="s">
        <v>467</v>
      </c>
      <c r="F560" s="17" t="s">
        <v>396</v>
      </c>
      <c r="G560" s="18" t="s">
        <v>1268</v>
      </c>
      <c r="H560" s="17" t="s">
        <v>58</v>
      </c>
      <c r="I560" s="17" t="s">
        <v>119</v>
      </c>
      <c r="J560" s="21" t="s">
        <v>119</v>
      </c>
    </row>
    <row r="561" spans="1:10" ht="32" x14ac:dyDescent="0.2">
      <c r="A561" s="16">
        <v>280</v>
      </c>
      <c r="B561" s="34">
        <v>43738</v>
      </c>
      <c r="C561" s="105">
        <v>1</v>
      </c>
      <c r="D561" s="17" t="str">
        <f>IF(C561="","",VLOOKUP(C561,'Objekt Aufstellung'!$A$2:$B$51,2))</f>
        <v>Roßstraße 9</v>
      </c>
      <c r="E561" s="17" t="s">
        <v>43</v>
      </c>
      <c r="F561" s="17"/>
      <c r="G561" s="18" t="s">
        <v>1269</v>
      </c>
      <c r="H561" s="17" t="s">
        <v>13</v>
      </c>
      <c r="I561" s="21" t="s">
        <v>706</v>
      </c>
      <c r="J561" s="21" t="s">
        <v>706</v>
      </c>
    </row>
    <row r="562" spans="1:10" ht="16" x14ac:dyDescent="0.2">
      <c r="A562" s="16">
        <v>281</v>
      </c>
      <c r="B562" s="34">
        <v>43747</v>
      </c>
      <c r="C562" s="105">
        <v>39</v>
      </c>
      <c r="D562" s="17" t="str">
        <f>IF(C562="","",VLOOKUP(C562,'Objekt Aufstellung'!$A$2:$B$51,2))</f>
        <v>Metzer Straße 28</v>
      </c>
      <c r="E562" s="17" t="s">
        <v>637</v>
      </c>
      <c r="F562" s="17" t="s">
        <v>1261</v>
      </c>
      <c r="G562" s="18" t="s">
        <v>1270</v>
      </c>
      <c r="H562" s="17" t="s">
        <v>13</v>
      </c>
      <c r="I562" s="17" t="s">
        <v>900</v>
      </c>
      <c r="J562" s="17" t="s">
        <v>900</v>
      </c>
    </row>
    <row r="563" spans="1:10" ht="16" x14ac:dyDescent="0.2">
      <c r="A563" s="16">
        <v>282</v>
      </c>
      <c r="B563" s="34">
        <v>43747</v>
      </c>
      <c r="C563" s="105">
        <v>36</v>
      </c>
      <c r="D563" s="17" t="str">
        <f>IF(C563="","",VLOOKUP(C563,'Objekt Aufstellung'!$A$2:$B$51,2))</f>
        <v>Lintorfer Waldstraße 8</v>
      </c>
      <c r="E563" s="17" t="s">
        <v>138</v>
      </c>
      <c r="F563" s="17" t="s">
        <v>1177</v>
      </c>
      <c r="G563" s="18" t="s">
        <v>1271</v>
      </c>
      <c r="H563" s="17" t="s">
        <v>58</v>
      </c>
      <c r="I563" s="17" t="s">
        <v>924</v>
      </c>
      <c r="J563" s="21" t="s">
        <v>924</v>
      </c>
    </row>
    <row r="564" spans="1:10" ht="16" x14ac:dyDescent="0.2">
      <c r="A564" s="16">
        <v>283</v>
      </c>
      <c r="B564" s="34">
        <v>43747</v>
      </c>
      <c r="C564" s="105">
        <v>25</v>
      </c>
      <c r="D564" s="17" t="str">
        <f>IF(C564="","",VLOOKUP(C564,'Objekt Aufstellung'!$A$2:$B$51,2))</f>
        <v>Koppelskamp 10</v>
      </c>
      <c r="E564" s="17" t="s">
        <v>351</v>
      </c>
      <c r="F564" s="17"/>
      <c r="G564" s="18" t="s">
        <v>1272</v>
      </c>
      <c r="H564" s="17" t="s">
        <v>13</v>
      </c>
      <c r="I564" s="17" t="s">
        <v>900</v>
      </c>
      <c r="J564" s="21" t="s">
        <v>900</v>
      </c>
    </row>
    <row r="565" spans="1:10" ht="16" x14ac:dyDescent="0.2">
      <c r="A565" s="16">
        <v>284</v>
      </c>
      <c r="B565" s="34">
        <v>43753</v>
      </c>
      <c r="C565" s="105">
        <v>38</v>
      </c>
      <c r="D565" s="17" t="s">
        <v>834</v>
      </c>
      <c r="E565" s="17" t="s">
        <v>1273</v>
      </c>
      <c r="F565" s="17"/>
      <c r="G565" s="18" t="s">
        <v>1274</v>
      </c>
      <c r="H565" s="17" t="s">
        <v>13</v>
      </c>
      <c r="I565" s="17" t="s">
        <v>14</v>
      </c>
      <c r="J565" s="21"/>
    </row>
    <row r="566" spans="1:10" ht="16" x14ac:dyDescent="0.2">
      <c r="A566" s="16">
        <v>285</v>
      </c>
      <c r="B566" s="34">
        <v>43753</v>
      </c>
      <c r="C566" s="105">
        <v>32</v>
      </c>
      <c r="D566" s="17" t="s">
        <v>39</v>
      </c>
      <c r="E566" s="17" t="s">
        <v>1275</v>
      </c>
      <c r="F566" s="17"/>
      <c r="G566" s="18" t="s">
        <v>1276</v>
      </c>
      <c r="H566" s="17" t="s">
        <v>13</v>
      </c>
      <c r="I566" s="21" t="s">
        <v>706</v>
      </c>
      <c r="J566" s="21" t="s">
        <v>706</v>
      </c>
    </row>
    <row r="567" spans="1:10" ht="16" x14ac:dyDescent="0.2">
      <c r="A567" s="16">
        <v>286</v>
      </c>
      <c r="B567" s="34">
        <v>43753</v>
      </c>
      <c r="C567" s="105">
        <v>25</v>
      </c>
      <c r="D567" s="17" t="s">
        <v>128</v>
      </c>
      <c r="E567" s="17" t="s">
        <v>1277</v>
      </c>
      <c r="F567" s="17"/>
      <c r="G567" s="18" t="s">
        <v>1278</v>
      </c>
      <c r="H567" s="17" t="s">
        <v>13</v>
      </c>
      <c r="I567" s="21" t="s">
        <v>706</v>
      </c>
      <c r="J567" s="21" t="s">
        <v>706</v>
      </c>
    </row>
    <row r="568" spans="1:10" ht="16" x14ac:dyDescent="0.2">
      <c r="A568" s="16">
        <v>287</v>
      </c>
      <c r="B568" s="34">
        <v>43754</v>
      </c>
      <c r="C568" s="105">
        <v>26</v>
      </c>
      <c r="D568" s="17" t="str">
        <f>IF(C568="","",VLOOKUP(C568,'Objekt Aufstellung'!$A$2:$B$51,2))</f>
        <v>Koppelskamp 12</v>
      </c>
      <c r="E568" s="17" t="s">
        <v>10</v>
      </c>
      <c r="F568" s="17" t="s">
        <v>17</v>
      </c>
      <c r="G568" s="18" t="s">
        <v>1279</v>
      </c>
      <c r="H568" s="17" t="s">
        <v>13</v>
      </c>
      <c r="I568" s="21" t="s">
        <v>706</v>
      </c>
      <c r="J568" s="21" t="s">
        <v>706</v>
      </c>
    </row>
    <row r="569" spans="1:10" ht="16" x14ac:dyDescent="0.2">
      <c r="A569" s="16">
        <v>288</v>
      </c>
      <c r="B569" s="34">
        <v>43754</v>
      </c>
      <c r="C569" s="105">
        <v>19</v>
      </c>
      <c r="D569" s="17" t="str">
        <f>IF(C569="","",VLOOKUP(C569,'Objekt Aufstellung'!$A$2:$B$51,2))</f>
        <v>Alte Bachstraße 25</v>
      </c>
      <c r="E569" s="17" t="s">
        <v>1280</v>
      </c>
      <c r="F569" s="17"/>
      <c r="G569" s="18" t="s">
        <v>1281</v>
      </c>
      <c r="H569" s="17" t="s">
        <v>23</v>
      </c>
      <c r="I569" s="17" t="s">
        <v>14</v>
      </c>
      <c r="J569" s="17" t="s">
        <v>14</v>
      </c>
    </row>
    <row r="570" spans="1:10" ht="16" x14ac:dyDescent="0.2">
      <c r="A570" s="16">
        <v>289</v>
      </c>
      <c r="B570" s="35">
        <v>43444</v>
      </c>
      <c r="C570" s="105">
        <v>18</v>
      </c>
      <c r="D570" s="17" t="s">
        <v>437</v>
      </c>
      <c r="E570" s="17" t="s">
        <v>648</v>
      </c>
      <c r="F570" s="17"/>
      <c r="G570" s="18" t="s">
        <v>649</v>
      </c>
      <c r="H570" s="17" t="s">
        <v>23</v>
      </c>
      <c r="I570" s="17" t="s">
        <v>14</v>
      </c>
      <c r="J570" s="20" t="s">
        <v>14</v>
      </c>
    </row>
    <row r="571" spans="1:10" ht="16" x14ac:dyDescent="0.2">
      <c r="A571" s="16">
        <v>289</v>
      </c>
      <c r="B571" s="34">
        <v>43755</v>
      </c>
      <c r="C571" s="105">
        <v>21</v>
      </c>
      <c r="D571" s="17" t="str">
        <f>IF(C571="","",VLOOKUP(C571,'Objekt Aufstellung'!$A$2:$B$51,2))</f>
        <v>Broicherdorfstraße 3</v>
      </c>
      <c r="E571" s="17" t="s">
        <v>693</v>
      </c>
      <c r="F571" s="17" t="s">
        <v>17</v>
      </c>
      <c r="G571" s="18" t="s">
        <v>737</v>
      </c>
      <c r="H571" s="17" t="s">
        <v>13</v>
      </c>
      <c r="I571" s="17" t="s">
        <v>411</v>
      </c>
      <c r="J571" s="21" t="s">
        <v>411</v>
      </c>
    </row>
    <row r="572" spans="1:10" ht="16" x14ac:dyDescent="0.2">
      <c r="A572" s="16">
        <v>290</v>
      </c>
      <c r="B572" s="35">
        <v>43444</v>
      </c>
      <c r="C572" s="105">
        <v>43</v>
      </c>
      <c r="D572" s="17" t="s">
        <v>417</v>
      </c>
      <c r="E572" s="17" t="s">
        <v>358</v>
      </c>
      <c r="F572" s="17" t="s">
        <v>650</v>
      </c>
      <c r="G572" s="18" t="s">
        <v>651</v>
      </c>
      <c r="H572" s="17" t="s">
        <v>13</v>
      </c>
      <c r="I572" s="17" t="s">
        <v>543</v>
      </c>
      <c r="J572" s="17" t="s">
        <v>543</v>
      </c>
    </row>
    <row r="573" spans="1:10" ht="16" x14ac:dyDescent="0.2">
      <c r="A573" s="16">
        <v>290</v>
      </c>
      <c r="B573" s="34">
        <v>43755</v>
      </c>
      <c r="C573" s="105">
        <v>21</v>
      </c>
      <c r="D573" s="17" t="str">
        <f>IF(C573="","",VLOOKUP(C573,'Objekt Aufstellung'!$A$2:$B$51,2))</f>
        <v>Broicherdorfstraße 3</v>
      </c>
      <c r="E573" s="17" t="s">
        <v>693</v>
      </c>
      <c r="F573" s="17" t="s">
        <v>17</v>
      </c>
      <c r="G573" s="18" t="s">
        <v>1282</v>
      </c>
      <c r="H573" s="17" t="s">
        <v>13</v>
      </c>
      <c r="I573" s="17" t="s">
        <v>119</v>
      </c>
      <c r="J573" s="17" t="s">
        <v>119</v>
      </c>
    </row>
    <row r="574" spans="1:10" ht="16" x14ac:dyDescent="0.2">
      <c r="A574" s="16">
        <v>291</v>
      </c>
      <c r="B574" s="35">
        <v>43446</v>
      </c>
      <c r="C574" s="105">
        <v>1</v>
      </c>
      <c r="D574" s="17" t="s">
        <v>390</v>
      </c>
      <c r="E574" s="17" t="s">
        <v>32</v>
      </c>
      <c r="F574" s="17" t="s">
        <v>652</v>
      </c>
      <c r="G574" s="18" t="s">
        <v>653</v>
      </c>
      <c r="H574" s="17" t="s">
        <v>13</v>
      </c>
      <c r="I574" s="17" t="s">
        <v>19</v>
      </c>
      <c r="J574" s="17" t="s">
        <v>19</v>
      </c>
    </row>
    <row r="575" spans="1:10" ht="16" x14ac:dyDescent="0.2">
      <c r="A575" s="16">
        <v>291</v>
      </c>
      <c r="B575" s="34">
        <v>43755</v>
      </c>
      <c r="C575" s="105">
        <v>7</v>
      </c>
      <c r="D575" s="17" t="str">
        <f>IF(C575="","",VLOOKUP(C575,'Objekt Aufstellung'!$A$2:$B$51,2))</f>
        <v>Engerstraße 3</v>
      </c>
      <c r="E575" s="17" t="s">
        <v>138</v>
      </c>
      <c r="F575" s="17" t="s">
        <v>612</v>
      </c>
      <c r="G575" s="18" t="s">
        <v>1283</v>
      </c>
      <c r="H575" s="17" t="s">
        <v>58</v>
      </c>
      <c r="I575" s="17" t="s">
        <v>119</v>
      </c>
      <c r="J575" s="17" t="s">
        <v>119</v>
      </c>
    </row>
    <row r="576" spans="1:10" ht="16" x14ac:dyDescent="0.2">
      <c r="A576" s="16">
        <v>292</v>
      </c>
      <c r="B576" s="35">
        <v>43446</v>
      </c>
      <c r="C576" s="105">
        <v>29</v>
      </c>
      <c r="D576" s="17" t="s">
        <v>98</v>
      </c>
      <c r="E576" s="17" t="s">
        <v>654</v>
      </c>
      <c r="F576" s="17"/>
      <c r="G576" s="18" t="s">
        <v>655</v>
      </c>
      <c r="H576" s="17" t="s">
        <v>13</v>
      </c>
      <c r="I576" s="17" t="s">
        <v>656</v>
      </c>
      <c r="J576" s="17" t="s">
        <v>656</v>
      </c>
    </row>
    <row r="577" spans="1:11" ht="48" x14ac:dyDescent="0.2">
      <c r="A577" s="100">
        <v>292</v>
      </c>
      <c r="B577" s="110">
        <v>43753</v>
      </c>
      <c r="C577" s="113">
        <v>31</v>
      </c>
      <c r="D577" s="115" t="s">
        <v>1284</v>
      </c>
      <c r="E577" s="116" t="s">
        <v>94</v>
      </c>
      <c r="F577" s="116" t="s">
        <v>313</v>
      </c>
      <c r="G577" s="120" t="s">
        <v>1285</v>
      </c>
      <c r="H577" s="116" t="s">
        <v>58</v>
      </c>
      <c r="I577" s="116" t="s">
        <v>900</v>
      </c>
      <c r="J577" s="101" t="s">
        <v>900</v>
      </c>
    </row>
    <row r="578" spans="1:11" ht="16" x14ac:dyDescent="0.2">
      <c r="A578" s="16">
        <v>293</v>
      </c>
      <c r="B578" s="35">
        <v>43447</v>
      </c>
      <c r="C578" s="105">
        <v>5</v>
      </c>
      <c r="D578" s="17" t="s">
        <v>164</v>
      </c>
      <c r="E578" s="17" t="s">
        <v>657</v>
      </c>
      <c r="F578" s="17"/>
      <c r="G578" s="18" t="s">
        <v>658</v>
      </c>
      <c r="H578" s="17" t="s">
        <v>13</v>
      </c>
      <c r="I578" s="17" t="s">
        <v>167</v>
      </c>
      <c r="J578" s="17" t="s">
        <v>167</v>
      </c>
    </row>
    <row r="579" spans="1:11" ht="16" x14ac:dyDescent="0.2">
      <c r="A579" s="16">
        <v>293</v>
      </c>
      <c r="B579" s="34">
        <v>43753</v>
      </c>
      <c r="C579" s="105">
        <v>34</v>
      </c>
      <c r="D579" s="17" t="str">
        <f>IF(C579="","",VLOOKUP(C579,'Objekt Aufstellung'!$A$2:$B$51,2))</f>
        <v>Koppelskamp 7</v>
      </c>
      <c r="E579" s="17" t="s">
        <v>40</v>
      </c>
      <c r="F579" s="17" t="s">
        <v>447</v>
      </c>
      <c r="G579" s="18" t="s">
        <v>1286</v>
      </c>
      <c r="H579" s="17" t="s">
        <v>58</v>
      </c>
      <c r="I579" s="17" t="s">
        <v>48</v>
      </c>
      <c r="J579" s="21" t="s">
        <v>48</v>
      </c>
    </row>
    <row r="580" spans="1:11" ht="16" x14ac:dyDescent="0.2">
      <c r="A580" s="16">
        <v>294</v>
      </c>
      <c r="B580" s="34">
        <v>43753</v>
      </c>
      <c r="C580" s="105">
        <v>10</v>
      </c>
      <c r="D580" s="17" t="s">
        <v>708</v>
      </c>
      <c r="E580" s="17" t="s">
        <v>467</v>
      </c>
      <c r="F580" s="17" t="s">
        <v>396</v>
      </c>
      <c r="G580" s="18" t="s">
        <v>1287</v>
      </c>
      <c r="H580" s="17" t="s">
        <v>58</v>
      </c>
      <c r="I580" s="21" t="s">
        <v>14</v>
      </c>
      <c r="J580" s="17" t="s">
        <v>14</v>
      </c>
    </row>
    <row r="581" spans="1:11" ht="16" x14ac:dyDescent="0.2">
      <c r="A581" s="16">
        <v>294</v>
      </c>
      <c r="B581" s="35">
        <v>43447</v>
      </c>
      <c r="C581" s="105">
        <v>46</v>
      </c>
      <c r="D581" s="17" t="s">
        <v>268</v>
      </c>
      <c r="E581" s="17" t="s">
        <v>101</v>
      </c>
      <c r="F581" s="17" t="s">
        <v>17</v>
      </c>
      <c r="G581" s="18" t="s">
        <v>61</v>
      </c>
      <c r="H581" s="17" t="s">
        <v>23</v>
      </c>
      <c r="I581" s="21" t="s">
        <v>14</v>
      </c>
      <c r="J581" s="21" t="s">
        <v>14</v>
      </c>
    </row>
    <row r="582" spans="1:11" s="78" customFormat="1" ht="16" x14ac:dyDescent="0.2">
      <c r="A582" s="16">
        <v>295</v>
      </c>
      <c r="B582" s="121">
        <v>43448</v>
      </c>
      <c r="C582" s="112">
        <v>21</v>
      </c>
      <c r="D582" s="28" t="s">
        <v>31</v>
      </c>
      <c r="E582" s="114" t="s">
        <v>32</v>
      </c>
      <c r="F582" s="114" t="s">
        <v>33</v>
      </c>
      <c r="G582" s="32" t="s">
        <v>659</v>
      </c>
      <c r="H582" s="114" t="s">
        <v>13</v>
      </c>
      <c r="I582" s="114" t="s">
        <v>19</v>
      </c>
      <c r="J582" s="17" t="s">
        <v>19</v>
      </c>
      <c r="K582" s="102"/>
    </row>
    <row r="583" spans="1:11" ht="16" x14ac:dyDescent="0.2">
      <c r="A583" s="16">
        <v>296</v>
      </c>
      <c r="B583" s="35">
        <v>43451</v>
      </c>
      <c r="C583" s="105">
        <v>18</v>
      </c>
      <c r="D583" s="17" t="s">
        <v>437</v>
      </c>
      <c r="E583" s="17" t="s">
        <v>46</v>
      </c>
      <c r="F583" s="17" t="s">
        <v>660</v>
      </c>
      <c r="G583" s="18" t="s">
        <v>61</v>
      </c>
      <c r="H583" s="17" t="s">
        <v>23</v>
      </c>
      <c r="I583" s="17" t="s">
        <v>14</v>
      </c>
      <c r="J583" s="17" t="s">
        <v>14</v>
      </c>
    </row>
    <row r="584" spans="1:11" ht="16" x14ac:dyDescent="0.2">
      <c r="A584" s="16">
        <v>296</v>
      </c>
      <c r="B584" s="34">
        <v>43755</v>
      </c>
      <c r="C584" s="105">
        <v>22</v>
      </c>
      <c r="D584" s="17" t="str">
        <f>IF(C584="","",VLOOKUP(C584,'Objekt Aufstellung'!$A$2:$B$51,2))</f>
        <v>Grafenberger Allee 235</v>
      </c>
      <c r="E584" s="17" t="s">
        <v>10</v>
      </c>
      <c r="F584" s="17" t="s">
        <v>1288</v>
      </c>
      <c r="G584" s="18" t="s">
        <v>1289</v>
      </c>
      <c r="H584" s="17" t="s">
        <v>58</v>
      </c>
      <c r="I584" s="17" t="s">
        <v>14</v>
      </c>
      <c r="J584" s="17" t="s">
        <v>14</v>
      </c>
    </row>
    <row r="585" spans="1:11" ht="16" x14ac:dyDescent="0.2">
      <c r="A585" s="16">
        <v>297</v>
      </c>
      <c r="B585" s="35">
        <v>43452</v>
      </c>
      <c r="C585" s="105" t="s">
        <v>661</v>
      </c>
      <c r="D585" s="17" t="s">
        <v>662</v>
      </c>
      <c r="E585" s="17" t="s">
        <v>538</v>
      </c>
      <c r="F585" s="17"/>
      <c r="G585" s="18" t="s">
        <v>663</v>
      </c>
      <c r="H585" s="17" t="s">
        <v>23</v>
      </c>
      <c r="I585" s="17" t="s">
        <v>540</v>
      </c>
      <c r="J585" s="21" t="s">
        <v>664</v>
      </c>
    </row>
    <row r="586" spans="1:11" ht="16" x14ac:dyDescent="0.2">
      <c r="A586" s="16">
        <v>297</v>
      </c>
      <c r="B586" s="34">
        <v>43755</v>
      </c>
      <c r="C586" s="105">
        <v>4</v>
      </c>
      <c r="D586" s="17" t="str">
        <f>IF(C586="","",VLOOKUP(C586,'Objekt Aufstellung'!$A$2:$B$51,2))</f>
        <v>Neanderstraße 15</v>
      </c>
      <c r="E586" s="17" t="s">
        <v>735</v>
      </c>
      <c r="F586" s="17" t="s">
        <v>169</v>
      </c>
      <c r="G586" s="18" t="s">
        <v>1290</v>
      </c>
      <c r="H586" s="17" t="s">
        <v>58</v>
      </c>
      <c r="I586" s="17" t="s">
        <v>181</v>
      </c>
      <c r="J586" s="21" t="s">
        <v>181</v>
      </c>
    </row>
    <row r="587" spans="1:11" ht="16" x14ac:dyDescent="0.2">
      <c r="A587" s="16">
        <v>298</v>
      </c>
      <c r="B587" s="35">
        <v>43453</v>
      </c>
      <c r="C587" s="105">
        <v>29</v>
      </c>
      <c r="D587" s="17" t="s">
        <v>98</v>
      </c>
      <c r="E587" s="17" t="s">
        <v>665</v>
      </c>
      <c r="F587" s="17" t="s">
        <v>666</v>
      </c>
      <c r="G587" s="18" t="s">
        <v>667</v>
      </c>
      <c r="H587" s="17" t="s">
        <v>13</v>
      </c>
      <c r="I587" s="57" t="s">
        <v>423</v>
      </c>
      <c r="J587" s="21" t="s">
        <v>967</v>
      </c>
    </row>
    <row r="588" spans="1:11" ht="16" x14ac:dyDescent="0.2">
      <c r="A588" s="16">
        <v>298</v>
      </c>
      <c r="B588" s="34">
        <v>43755</v>
      </c>
      <c r="C588" s="105">
        <v>3</v>
      </c>
      <c r="D588" s="17" t="str">
        <f>IF(C588="","",VLOOKUP(C588,'Objekt Aufstellung'!$A$2:$B$51,2))</f>
        <v xml:space="preserve"> Schloßstraße 19</v>
      </c>
      <c r="E588" s="17" t="s">
        <v>27</v>
      </c>
      <c r="F588" s="17" t="s">
        <v>1291</v>
      </c>
      <c r="G588" s="18" t="s">
        <v>1292</v>
      </c>
      <c r="H588" s="17" t="s">
        <v>58</v>
      </c>
      <c r="I588" s="17" t="s">
        <v>181</v>
      </c>
      <c r="J588" s="21" t="s">
        <v>181</v>
      </c>
    </row>
    <row r="589" spans="1:11" ht="16" x14ac:dyDescent="0.2">
      <c r="A589" s="16">
        <v>299</v>
      </c>
      <c r="B589" s="35">
        <v>43455</v>
      </c>
      <c r="C589" s="105">
        <v>1</v>
      </c>
      <c r="D589" s="17" t="s">
        <v>390</v>
      </c>
      <c r="E589" s="17" t="s">
        <v>263</v>
      </c>
      <c r="F589" s="17"/>
      <c r="G589" s="18" t="s">
        <v>668</v>
      </c>
      <c r="H589" s="17" t="s">
        <v>13</v>
      </c>
      <c r="I589" s="29" t="s">
        <v>312</v>
      </c>
      <c r="J589" s="29" t="s">
        <v>312</v>
      </c>
    </row>
    <row r="590" spans="1:11" ht="32" x14ac:dyDescent="0.2">
      <c r="A590" s="16">
        <v>299</v>
      </c>
      <c r="B590" s="34">
        <v>43755</v>
      </c>
      <c r="C590" s="105">
        <v>29</v>
      </c>
      <c r="D590" s="17" t="str">
        <f>IF(C590="","",VLOOKUP(C590,'Objekt Aufstellung'!$A$2:$B$51,2))</f>
        <v>Bismarckstraße 109</v>
      </c>
      <c r="E590" s="17" t="s">
        <v>780</v>
      </c>
      <c r="F590" s="17" t="s">
        <v>1293</v>
      </c>
      <c r="G590" s="18" t="s">
        <v>1294</v>
      </c>
      <c r="H590" s="17" t="s">
        <v>58</v>
      </c>
      <c r="I590" s="17" t="s">
        <v>19</v>
      </c>
      <c r="J590" s="21" t="s">
        <v>706</v>
      </c>
    </row>
    <row r="591" spans="1:11" ht="16" x14ac:dyDescent="0.2">
      <c r="A591" s="16">
        <v>300</v>
      </c>
      <c r="B591" s="35">
        <v>43455</v>
      </c>
      <c r="C591" s="105">
        <v>8</v>
      </c>
      <c r="D591" s="17" t="s">
        <v>669</v>
      </c>
      <c r="E591" s="17" t="s">
        <v>129</v>
      </c>
      <c r="F591" s="17" t="s">
        <v>190</v>
      </c>
      <c r="G591" s="18" t="s">
        <v>369</v>
      </c>
      <c r="H591" s="17" t="s">
        <v>13</v>
      </c>
      <c r="I591" s="17" t="s">
        <v>48</v>
      </c>
      <c r="J591" s="17" t="s">
        <v>48</v>
      </c>
    </row>
    <row r="592" spans="1:11" ht="32" x14ac:dyDescent="0.2">
      <c r="A592" s="16">
        <v>300</v>
      </c>
      <c r="B592" s="34">
        <v>43756</v>
      </c>
      <c r="C592" s="105">
        <v>1</v>
      </c>
      <c r="D592" s="17" t="str">
        <f>IF(C592="","",VLOOKUP(C592,'Objekt Aufstellung'!$A$2:$B$51,2))</f>
        <v>Roßstraße 9</v>
      </c>
      <c r="E592" s="17" t="s">
        <v>32</v>
      </c>
      <c r="F592" s="17" t="s">
        <v>713</v>
      </c>
      <c r="G592" s="18" t="s">
        <v>1295</v>
      </c>
      <c r="H592" s="17" t="s">
        <v>13</v>
      </c>
      <c r="I592" s="17" t="s">
        <v>119</v>
      </c>
      <c r="J592" s="21" t="s">
        <v>119</v>
      </c>
    </row>
    <row r="593" spans="1:11" ht="16" x14ac:dyDescent="0.2">
      <c r="A593" s="16">
        <v>301</v>
      </c>
      <c r="B593" s="34">
        <v>43756</v>
      </c>
      <c r="C593" s="105">
        <v>39</v>
      </c>
      <c r="D593" s="17" t="str">
        <f>IF(C593="","",VLOOKUP(C593,'Objekt Aufstellung'!$A$2:$B$51,2))</f>
        <v>Metzer Straße 28</v>
      </c>
      <c r="E593" s="17" t="s">
        <v>1296</v>
      </c>
      <c r="F593" s="17" t="s">
        <v>1297</v>
      </c>
      <c r="G593" s="18" t="s">
        <v>1298</v>
      </c>
      <c r="H593" s="17" t="s">
        <v>13</v>
      </c>
      <c r="I593" s="21" t="s">
        <v>706</v>
      </c>
      <c r="J593" s="21" t="s">
        <v>706</v>
      </c>
    </row>
    <row r="594" spans="1:11" ht="16" x14ac:dyDescent="0.2">
      <c r="A594" s="16">
        <v>302</v>
      </c>
      <c r="B594" s="34">
        <v>43756</v>
      </c>
      <c r="C594" s="105">
        <v>1</v>
      </c>
      <c r="D594" s="17" t="str">
        <f>IF(C594="","",VLOOKUP(C594,'Objekt Aufstellung'!$A$2:$B$51,2))</f>
        <v>Roßstraße 9</v>
      </c>
      <c r="E594" s="17" t="s">
        <v>43</v>
      </c>
      <c r="F594" s="17" t="s">
        <v>1299</v>
      </c>
      <c r="G594" s="18" t="s">
        <v>1300</v>
      </c>
      <c r="H594" s="17" t="s">
        <v>13</v>
      </c>
      <c r="I594" s="21" t="s">
        <v>706</v>
      </c>
      <c r="J594" s="21" t="s">
        <v>706</v>
      </c>
    </row>
    <row r="595" spans="1:11" ht="16" x14ac:dyDescent="0.2">
      <c r="A595" s="16">
        <v>303</v>
      </c>
      <c r="B595" s="34">
        <v>43756</v>
      </c>
      <c r="C595" s="105">
        <v>41</v>
      </c>
      <c r="D595" s="17" t="str">
        <f>IF(C595="","",VLOOKUP(C595,'Objekt Aufstellung'!$A$2:$B$51,2))</f>
        <v>Spichernstraße 27</v>
      </c>
      <c r="E595" s="17" t="s">
        <v>10</v>
      </c>
      <c r="F595" s="17" t="s">
        <v>17</v>
      </c>
      <c r="G595" s="18" t="s">
        <v>1301</v>
      </c>
      <c r="H595" s="17" t="s">
        <v>13</v>
      </c>
      <c r="I595" s="17" t="s">
        <v>914</v>
      </c>
      <c r="J595" s="17" t="s">
        <v>914</v>
      </c>
    </row>
    <row r="596" spans="1:11" ht="16" x14ac:dyDescent="0.2">
      <c r="A596" s="16">
        <v>304</v>
      </c>
      <c r="B596" s="34">
        <v>43759</v>
      </c>
      <c r="C596" s="105">
        <v>29</v>
      </c>
      <c r="D596" s="17" t="str">
        <f>IF(C596="","",VLOOKUP(C596,'Objekt Aufstellung'!$A$2:$B$51,2))</f>
        <v>Bismarckstraße 109</v>
      </c>
      <c r="E596" s="17" t="s">
        <v>202</v>
      </c>
      <c r="F596" s="17" t="s">
        <v>470</v>
      </c>
      <c r="G596" s="18" t="s">
        <v>1302</v>
      </c>
      <c r="H596" s="17" t="s">
        <v>13</v>
      </c>
      <c r="I596" s="17" t="s">
        <v>30</v>
      </c>
      <c r="J596" s="21" t="s">
        <v>30</v>
      </c>
    </row>
    <row r="597" spans="1:11" ht="16" x14ac:dyDescent="0.2">
      <c r="A597" s="16">
        <v>305</v>
      </c>
      <c r="B597" s="34">
        <v>43760</v>
      </c>
      <c r="C597" s="105">
        <v>20</v>
      </c>
      <c r="D597" s="17" t="str">
        <f>IF(C597="","",VLOOKUP(C597,'Objekt Aufstellung'!$A$2:$B$51,2))</f>
        <v>Kranzstraße 103</v>
      </c>
      <c r="E597" s="17" t="s">
        <v>1303</v>
      </c>
      <c r="F597" s="17" t="s">
        <v>17</v>
      </c>
      <c r="G597" s="18" t="s">
        <v>1304</v>
      </c>
      <c r="H597" s="17" t="s">
        <v>23</v>
      </c>
      <c r="I597" s="17" t="s">
        <v>14</v>
      </c>
      <c r="J597" s="21" t="s">
        <v>14</v>
      </c>
    </row>
    <row r="598" spans="1:11" ht="16" x14ac:dyDescent="0.2">
      <c r="A598" s="16">
        <v>306</v>
      </c>
      <c r="B598" s="34">
        <v>43760</v>
      </c>
      <c r="C598" s="105">
        <v>7</v>
      </c>
      <c r="D598" s="17" t="str">
        <f>IF(C598="","",VLOOKUP(C598,'Objekt Aufstellung'!$A$2:$B$51,2))</f>
        <v>Engerstraße 3</v>
      </c>
      <c r="E598" s="17" t="s">
        <v>138</v>
      </c>
      <c r="F598" s="17" t="s">
        <v>612</v>
      </c>
      <c r="G598" s="18" t="s">
        <v>1305</v>
      </c>
      <c r="H598" s="17" t="s">
        <v>13</v>
      </c>
      <c r="I598" s="17" t="s">
        <v>19</v>
      </c>
      <c r="J598" s="17" t="s">
        <v>19</v>
      </c>
    </row>
    <row r="599" spans="1:11" ht="16" x14ac:dyDescent="0.2">
      <c r="A599" s="16">
        <v>307</v>
      </c>
      <c r="B599" s="34">
        <v>43760</v>
      </c>
      <c r="C599" s="105">
        <v>30</v>
      </c>
      <c r="D599" s="17" t="str">
        <f>IF(C599="","",VLOOKUP(C599,'Objekt Aufstellung'!$A$2:$B$51,2))</f>
        <v>Memelstraße 43</v>
      </c>
      <c r="E599" s="17" t="s">
        <v>1306</v>
      </c>
      <c r="F599" s="17" t="s">
        <v>1307</v>
      </c>
      <c r="G599" s="18" t="s">
        <v>1308</v>
      </c>
      <c r="H599" s="17" t="s">
        <v>13</v>
      </c>
      <c r="I599" s="17" t="s">
        <v>232</v>
      </c>
      <c r="J599" s="17" t="s">
        <v>232</v>
      </c>
    </row>
    <row r="600" spans="1:11" ht="16" x14ac:dyDescent="0.2">
      <c r="A600" s="16">
        <v>308</v>
      </c>
      <c r="B600" s="34">
        <v>43761</v>
      </c>
      <c r="C600" s="105">
        <v>12</v>
      </c>
      <c r="D600" s="17" t="str">
        <f>IF(C600="","",VLOOKUP(C600,'Objekt Aufstellung'!$A$2:$B$51,2))</f>
        <v>Merowingerstr. 17</v>
      </c>
      <c r="E600" s="17" t="s">
        <v>344</v>
      </c>
      <c r="F600" s="17" t="s">
        <v>644</v>
      </c>
      <c r="G600" s="18" t="s">
        <v>1309</v>
      </c>
      <c r="H600" s="17" t="s">
        <v>13</v>
      </c>
      <c r="I600" s="17" t="s">
        <v>181</v>
      </c>
      <c r="J600" s="21" t="s">
        <v>181</v>
      </c>
    </row>
    <row r="601" spans="1:11" ht="16" x14ac:dyDescent="0.2">
      <c r="A601" s="16">
        <v>309</v>
      </c>
      <c r="B601" s="34">
        <v>43761</v>
      </c>
      <c r="C601" s="105">
        <v>29</v>
      </c>
      <c r="D601" s="17" t="str">
        <f>IF(C601="","",VLOOKUP(C601,'Objekt Aufstellung'!$A$2:$B$51,2))</f>
        <v>Bismarckstraße 109</v>
      </c>
      <c r="E601" s="17" t="s">
        <v>32</v>
      </c>
      <c r="F601" s="17" t="s">
        <v>1293</v>
      </c>
      <c r="G601" s="18" t="s">
        <v>1310</v>
      </c>
      <c r="H601" s="17" t="s">
        <v>13</v>
      </c>
      <c r="I601" s="36" t="s">
        <v>706</v>
      </c>
      <c r="J601" s="36" t="s">
        <v>706</v>
      </c>
    </row>
    <row r="602" spans="1:11" ht="16" x14ac:dyDescent="0.2">
      <c r="A602" s="16">
        <v>310</v>
      </c>
      <c r="B602" s="34">
        <v>43761</v>
      </c>
      <c r="C602" s="105">
        <v>19</v>
      </c>
      <c r="D602" s="17" t="str">
        <f>IF(C602="","",VLOOKUP(C602,'Objekt Aufstellung'!$A$2:$B$51,2))</f>
        <v>Alte Bachstraße 25</v>
      </c>
      <c r="E602" s="17" t="s">
        <v>1311</v>
      </c>
      <c r="F602" s="17" t="s">
        <v>1312</v>
      </c>
      <c r="G602" s="18" t="s">
        <v>1313</v>
      </c>
      <c r="H602" s="17" t="s">
        <v>23</v>
      </c>
      <c r="I602" s="17" t="s">
        <v>14</v>
      </c>
      <c r="J602" s="17" t="s">
        <v>14</v>
      </c>
    </row>
    <row r="603" spans="1:11" ht="16" x14ac:dyDescent="0.2">
      <c r="A603" s="16">
        <v>311</v>
      </c>
      <c r="B603" s="34">
        <v>43761</v>
      </c>
      <c r="C603" s="105">
        <v>18</v>
      </c>
      <c r="D603" s="17" t="str">
        <f>IF(C603="","",VLOOKUP(C603,'Objekt Aufstellung'!$A$2:$B$51,2))</f>
        <v>Kölner Straße 217</v>
      </c>
      <c r="E603" s="17" t="s">
        <v>235</v>
      </c>
      <c r="F603" s="17" t="s">
        <v>449</v>
      </c>
      <c r="G603" s="18" t="s">
        <v>1314</v>
      </c>
      <c r="H603" s="17" t="s">
        <v>23</v>
      </c>
      <c r="I603" s="17" t="s">
        <v>14</v>
      </c>
      <c r="J603" s="17" t="s">
        <v>14</v>
      </c>
    </row>
    <row r="604" spans="1:11" ht="16" x14ac:dyDescent="0.2">
      <c r="A604" s="16">
        <v>312</v>
      </c>
      <c r="B604" s="34">
        <v>43762</v>
      </c>
      <c r="C604" s="105">
        <v>42</v>
      </c>
      <c r="D604" s="17" t="str">
        <f>IF(C604="","",VLOOKUP(C604,'Objekt Aufstellung'!$A$2:$B$51,2))</f>
        <v>Metzer Straße 17</v>
      </c>
      <c r="E604" s="17" t="s">
        <v>637</v>
      </c>
      <c r="F604" s="17" t="s">
        <v>1228</v>
      </c>
      <c r="G604" s="18" t="s">
        <v>1315</v>
      </c>
      <c r="H604" s="17" t="s">
        <v>13</v>
      </c>
      <c r="I604" s="17" t="s">
        <v>900</v>
      </c>
      <c r="J604" s="17" t="s">
        <v>900</v>
      </c>
    </row>
    <row r="605" spans="1:11" ht="16" x14ac:dyDescent="0.2">
      <c r="A605" s="16">
        <v>313</v>
      </c>
      <c r="B605" s="34">
        <v>43762</v>
      </c>
      <c r="C605" s="105">
        <v>19</v>
      </c>
      <c r="D605" s="17" t="str">
        <f>IF(C605="","",VLOOKUP(C605,'Objekt Aufstellung'!$A$2:$B$51,2))</f>
        <v>Alte Bachstraße 25</v>
      </c>
      <c r="E605" s="17" t="s">
        <v>1316</v>
      </c>
      <c r="F605" s="17" t="s">
        <v>1157</v>
      </c>
      <c r="G605" s="18" t="s">
        <v>1317</v>
      </c>
      <c r="H605" s="17" t="s">
        <v>13</v>
      </c>
      <c r="I605" s="17" t="s">
        <v>14</v>
      </c>
      <c r="J605" s="17" t="s">
        <v>14</v>
      </c>
    </row>
    <row r="606" spans="1:11" ht="16" x14ac:dyDescent="0.2">
      <c r="A606" s="16">
        <v>314</v>
      </c>
      <c r="B606" s="34">
        <v>43762</v>
      </c>
      <c r="C606" s="105">
        <v>7</v>
      </c>
      <c r="D606" s="17" t="str">
        <f>IF(C606="","",VLOOKUP(C606,'Objekt Aufstellung'!$A$2:$B$51,2))</f>
        <v>Engerstraße 3</v>
      </c>
      <c r="E606" s="17" t="s">
        <v>138</v>
      </c>
      <c r="F606" s="17" t="s">
        <v>612</v>
      </c>
      <c r="G606" s="18" t="s">
        <v>1318</v>
      </c>
      <c r="H606" s="17" t="s">
        <v>13</v>
      </c>
      <c r="I606" s="17" t="s">
        <v>900</v>
      </c>
      <c r="J606" s="17" t="s">
        <v>900</v>
      </c>
      <c r="K606" s="41"/>
    </row>
    <row r="607" spans="1:11" ht="16" x14ac:dyDescent="0.2">
      <c r="A607" s="16">
        <v>315</v>
      </c>
      <c r="B607" s="34">
        <v>43766</v>
      </c>
      <c r="C607" s="105">
        <v>46</v>
      </c>
      <c r="D607" s="17" t="str">
        <f>IF(C607="","",VLOOKUP(C607,'Objekt Aufstellung'!$A$2:$B$51,2))</f>
        <v>Neumühler Straße 41</v>
      </c>
      <c r="E607" s="17" t="s">
        <v>358</v>
      </c>
      <c r="F607" s="17" t="s">
        <v>518</v>
      </c>
      <c r="G607" s="18" t="s">
        <v>1319</v>
      </c>
      <c r="H607" s="17" t="s">
        <v>13</v>
      </c>
      <c r="I607" s="17" t="s">
        <v>950</v>
      </c>
      <c r="J607" s="17" t="s">
        <v>950</v>
      </c>
    </row>
    <row r="608" spans="1:11" ht="16" x14ac:dyDescent="0.2">
      <c r="A608" s="16">
        <v>316</v>
      </c>
      <c r="B608" s="34">
        <v>43766</v>
      </c>
      <c r="C608" s="105">
        <v>12</v>
      </c>
      <c r="D608" s="17" t="str">
        <f>IF(C608="","",VLOOKUP(C608,'Objekt Aufstellung'!$A$2:$B$51,2))</f>
        <v>Merowingerstr. 17</v>
      </c>
      <c r="E608" s="17" t="s">
        <v>27</v>
      </c>
      <c r="F608" s="17" t="s">
        <v>1320</v>
      </c>
      <c r="G608" s="18" t="s">
        <v>1321</v>
      </c>
      <c r="H608" s="17" t="s">
        <v>23</v>
      </c>
      <c r="I608" s="17" t="s">
        <v>181</v>
      </c>
      <c r="J608" s="17" t="s">
        <v>181</v>
      </c>
    </row>
    <row r="609" spans="1:10" ht="16" x14ac:dyDescent="0.2">
      <c r="A609" s="16">
        <v>317</v>
      </c>
      <c r="B609" s="34">
        <v>43767</v>
      </c>
      <c r="C609" s="105">
        <v>41</v>
      </c>
      <c r="D609" s="17" t="str">
        <f>IF(C609="","",VLOOKUP(C609,'Objekt Aufstellung'!$A$2:$B$51,2))</f>
        <v>Spichernstraße 27</v>
      </c>
      <c r="E609" s="17" t="s">
        <v>245</v>
      </c>
      <c r="F609" s="17" t="s">
        <v>1322</v>
      </c>
      <c r="G609" s="18" t="s">
        <v>1323</v>
      </c>
      <c r="H609" s="17" t="s">
        <v>23</v>
      </c>
      <c r="I609" s="23" t="s">
        <v>423</v>
      </c>
      <c r="J609" s="23" t="s">
        <v>423</v>
      </c>
    </row>
    <row r="610" spans="1:10" ht="16" x14ac:dyDescent="0.2">
      <c r="A610" s="16">
        <v>318</v>
      </c>
      <c r="B610" s="34">
        <v>43768</v>
      </c>
      <c r="C610" s="105">
        <v>19</v>
      </c>
      <c r="D610" s="17" t="str">
        <f>IF(C610="","",VLOOKUP(C610,'Objekt Aufstellung'!$A$2:$B$51,2))</f>
        <v>Alte Bachstraße 25</v>
      </c>
      <c r="E610" s="17" t="s">
        <v>466</v>
      </c>
      <c r="F610" s="17"/>
      <c r="G610" s="18" t="s">
        <v>1324</v>
      </c>
      <c r="H610" s="17" t="s">
        <v>13</v>
      </c>
      <c r="I610" s="23" t="s">
        <v>200</v>
      </c>
      <c r="J610" s="17" t="s">
        <v>200</v>
      </c>
    </row>
    <row r="611" spans="1:10" ht="16" x14ac:dyDescent="0.2">
      <c r="A611" s="16">
        <v>319</v>
      </c>
      <c r="B611" s="34">
        <v>43768</v>
      </c>
      <c r="C611" s="105">
        <v>25</v>
      </c>
      <c r="D611" s="17" t="str">
        <f>IF(C611="","",VLOOKUP(C611,'Objekt Aufstellung'!$A$2:$B$51,2))</f>
        <v>Koppelskamp 10</v>
      </c>
      <c r="E611" s="17" t="s">
        <v>351</v>
      </c>
      <c r="F611" s="17"/>
      <c r="G611" s="18" t="s">
        <v>1325</v>
      </c>
      <c r="H611" s="17" t="s">
        <v>13</v>
      </c>
      <c r="I611" s="21" t="s">
        <v>706</v>
      </c>
      <c r="J611" s="21" t="s">
        <v>706</v>
      </c>
    </row>
    <row r="612" spans="1:10" ht="16" x14ac:dyDescent="0.2">
      <c r="A612" s="16">
        <v>320</v>
      </c>
      <c r="B612" s="34">
        <v>43769</v>
      </c>
      <c r="C612" s="105">
        <v>17</v>
      </c>
      <c r="D612" s="17" t="str">
        <f>IF(C612="","",VLOOKUP(C612,'Objekt Aufstellung'!$A$2:$B$51,2))</f>
        <v>Kölner Straße 215</v>
      </c>
      <c r="E612" s="17" t="s">
        <v>630</v>
      </c>
      <c r="F612" s="17" t="s">
        <v>1326</v>
      </c>
      <c r="G612" s="18" t="s">
        <v>1327</v>
      </c>
      <c r="H612" s="17" t="s">
        <v>23</v>
      </c>
      <c r="I612" s="23" t="s">
        <v>14</v>
      </c>
      <c r="J612" s="17" t="s">
        <v>14</v>
      </c>
    </row>
    <row r="613" spans="1:10" ht="16" x14ac:dyDescent="0.2">
      <c r="A613" s="16">
        <v>321</v>
      </c>
      <c r="B613" s="34">
        <v>43769</v>
      </c>
      <c r="C613" s="105">
        <v>6</v>
      </c>
      <c r="D613" s="17" t="str">
        <f>IF(C613="","",VLOOKUP(C613,'Objekt Aufstellung'!$A$2:$B$51,2))</f>
        <v>Lindenstraße 267</v>
      </c>
      <c r="E613" s="17" t="s">
        <v>16</v>
      </c>
      <c r="F613" s="17" t="s">
        <v>1328</v>
      </c>
      <c r="G613" s="18" t="s">
        <v>1329</v>
      </c>
      <c r="H613" s="17" t="s">
        <v>13</v>
      </c>
      <c r="I613" s="36" t="s">
        <v>386</v>
      </c>
      <c r="J613" s="17" t="s">
        <v>386</v>
      </c>
    </row>
    <row r="614" spans="1:10" ht="16" x14ac:dyDescent="0.2">
      <c r="A614" s="16">
        <v>322</v>
      </c>
      <c r="B614" s="34">
        <v>43769</v>
      </c>
      <c r="C614" s="105">
        <v>6</v>
      </c>
      <c r="D614" s="17" t="str">
        <f>IF(C614="","",VLOOKUP(C614,'Objekt Aufstellung'!$A$2:$B$51,2))</f>
        <v>Lindenstraße 267</v>
      </c>
      <c r="E614" s="17" t="s">
        <v>16</v>
      </c>
      <c r="F614" s="17" t="s">
        <v>1328</v>
      </c>
      <c r="G614" s="18" t="s">
        <v>1330</v>
      </c>
      <c r="H614" s="17" t="s">
        <v>13</v>
      </c>
      <c r="I614" s="36" t="s">
        <v>900</v>
      </c>
      <c r="J614" s="21" t="s">
        <v>900</v>
      </c>
    </row>
    <row r="615" spans="1:10" ht="32" x14ac:dyDescent="0.2">
      <c r="A615" s="16">
        <v>323</v>
      </c>
      <c r="B615" s="34">
        <v>43769</v>
      </c>
      <c r="C615" s="105">
        <v>33</v>
      </c>
      <c r="D615" s="17" t="str">
        <f>IF(C615="","",VLOOKUP(C615,'Objekt Aufstellung'!$A$2:$B$51,2))</f>
        <v>Koppelskamp 5a</v>
      </c>
      <c r="E615" s="17" t="s">
        <v>40</v>
      </c>
      <c r="F615" s="17" t="s">
        <v>1331</v>
      </c>
      <c r="G615" s="18" t="s">
        <v>1332</v>
      </c>
      <c r="H615" s="17" t="s">
        <v>13</v>
      </c>
      <c r="I615" s="23" t="s">
        <v>71</v>
      </c>
      <c r="J615" s="21" t="s">
        <v>71</v>
      </c>
    </row>
    <row r="616" spans="1:10" ht="16" x14ac:dyDescent="0.2">
      <c r="A616" s="16">
        <v>324</v>
      </c>
      <c r="B616" s="34">
        <f ca="1">TODAY()</f>
        <v>44116</v>
      </c>
      <c r="C616" s="105">
        <v>2</v>
      </c>
      <c r="D616" s="17" t="str">
        <f>IF(C616="","",VLOOKUP(C616,'Objekt Aufstellung'!$A$2:$B$51,2))</f>
        <v>Pfalzstraße 17</v>
      </c>
      <c r="E616" s="17" t="s">
        <v>138</v>
      </c>
      <c r="F616" s="17" t="s">
        <v>1333</v>
      </c>
      <c r="G616" s="18" t="s">
        <v>1334</v>
      </c>
      <c r="H616" s="17" t="s">
        <v>1266</v>
      </c>
      <c r="I616" s="23" t="s">
        <v>14</v>
      </c>
      <c r="J616" s="17" t="s">
        <v>14</v>
      </c>
    </row>
    <row r="617" spans="1:10" ht="16" x14ac:dyDescent="0.2">
      <c r="A617" s="16">
        <v>325</v>
      </c>
      <c r="B617" s="34">
        <v>43773</v>
      </c>
      <c r="C617" s="105">
        <v>24</v>
      </c>
      <c r="D617" s="17" t="str">
        <f>IF(C617="","",VLOOKUP(C617,'Objekt Aufstellung'!$A$2:$B$51,2))</f>
        <v>Angerbenden 31</v>
      </c>
      <c r="E617" s="17" t="s">
        <v>245</v>
      </c>
      <c r="F617" s="17" t="s">
        <v>1335</v>
      </c>
      <c r="G617" s="18" t="s">
        <v>1336</v>
      </c>
      <c r="H617" s="17" t="s">
        <v>23</v>
      </c>
      <c r="I617" s="23" t="s">
        <v>14</v>
      </c>
      <c r="J617" s="17" t="s">
        <v>14</v>
      </c>
    </row>
    <row r="618" spans="1:10" ht="16" x14ac:dyDescent="0.2">
      <c r="A618" s="16">
        <v>326</v>
      </c>
      <c r="B618" s="34">
        <v>43773</v>
      </c>
      <c r="C618" s="105">
        <v>1</v>
      </c>
      <c r="D618" s="17" t="str">
        <f>IF(C618="","",VLOOKUP(C618,'Objekt Aufstellung'!$A$2:$B$51,2))</f>
        <v>Roßstraße 9</v>
      </c>
      <c r="E618" s="17" t="s">
        <v>358</v>
      </c>
      <c r="F618" s="17" t="s">
        <v>1337</v>
      </c>
      <c r="G618" s="18" t="s">
        <v>1338</v>
      </c>
      <c r="H618" s="17" t="s">
        <v>1266</v>
      </c>
      <c r="I618" s="23" t="s">
        <v>181</v>
      </c>
      <c r="J618" s="17" t="s">
        <v>252</v>
      </c>
    </row>
    <row r="619" spans="1:10" ht="16" x14ac:dyDescent="0.2">
      <c r="A619" s="16">
        <v>327</v>
      </c>
      <c r="B619" s="34">
        <v>43774</v>
      </c>
      <c r="C619" s="105">
        <v>2</v>
      </c>
      <c r="D619" s="17" t="str">
        <f>IF(C619="","",VLOOKUP(C619,'Objekt Aufstellung'!$A$2:$B$51,2))</f>
        <v>Pfalzstraße 17</v>
      </c>
      <c r="E619" s="17" t="s">
        <v>138</v>
      </c>
      <c r="F619" s="17" t="s">
        <v>1333</v>
      </c>
      <c r="G619" s="18" t="s">
        <v>1339</v>
      </c>
      <c r="H619" s="17" t="s">
        <v>1266</v>
      </c>
      <c r="I619" s="23" t="s">
        <v>119</v>
      </c>
      <c r="J619" s="17" t="s">
        <v>119</v>
      </c>
    </row>
    <row r="620" spans="1:10" ht="16" x14ac:dyDescent="0.2">
      <c r="A620" s="16">
        <v>328</v>
      </c>
      <c r="B620" s="34">
        <v>43774</v>
      </c>
      <c r="C620" s="105">
        <v>26</v>
      </c>
      <c r="D620" s="17" t="str">
        <f>IF(C620="","",VLOOKUP(C620,'Objekt Aufstellung'!$A$2:$B$51,2))</f>
        <v>Koppelskamp 12</v>
      </c>
      <c r="E620" s="17" t="s">
        <v>78</v>
      </c>
      <c r="F620" s="17"/>
      <c r="G620" s="18" t="s">
        <v>509</v>
      </c>
      <c r="H620" s="17" t="s">
        <v>23</v>
      </c>
      <c r="I620" s="37" t="s">
        <v>14</v>
      </c>
      <c r="J620" s="38" t="s">
        <v>14</v>
      </c>
    </row>
    <row r="621" spans="1:10" ht="16" x14ac:dyDescent="0.2">
      <c r="A621" s="16">
        <v>329</v>
      </c>
      <c r="B621" s="34">
        <v>43775</v>
      </c>
      <c r="C621" s="105">
        <v>25</v>
      </c>
      <c r="D621" s="17" t="str">
        <f>IF(C621="","",VLOOKUP(C621,'Objekt Aufstellung'!$A$2:$B$51,2))</f>
        <v>Koppelskamp 10</v>
      </c>
      <c r="E621" s="17" t="s">
        <v>351</v>
      </c>
      <c r="F621" s="17"/>
      <c r="G621" s="18" t="s">
        <v>1340</v>
      </c>
      <c r="H621" s="17" t="s">
        <v>13</v>
      </c>
      <c r="I621" s="37" t="s">
        <v>411</v>
      </c>
      <c r="J621" s="21" t="s">
        <v>411</v>
      </c>
    </row>
    <row r="622" spans="1:10" ht="16" x14ac:dyDescent="0.2">
      <c r="A622" s="16">
        <v>330</v>
      </c>
      <c r="B622" s="34">
        <v>43775</v>
      </c>
      <c r="C622" s="105">
        <v>48</v>
      </c>
      <c r="D622" s="17" t="str">
        <f>IF(C622="","",VLOOKUP(C622,'Objekt Aufstellung'!$A$2:$B$51,2))</f>
        <v>Mendelsohnstraße 3</v>
      </c>
      <c r="E622" s="17" t="s">
        <v>1341</v>
      </c>
      <c r="F622" s="17" t="s">
        <v>17</v>
      </c>
      <c r="G622" s="18" t="s">
        <v>1342</v>
      </c>
      <c r="H622" s="17" t="s">
        <v>13</v>
      </c>
      <c r="I622" s="37" t="s">
        <v>958</v>
      </c>
      <c r="J622" s="38" t="s">
        <v>958</v>
      </c>
    </row>
    <row r="623" spans="1:10" ht="16" x14ac:dyDescent="0.2">
      <c r="A623" s="16">
        <v>331</v>
      </c>
      <c r="B623" s="34">
        <v>43775</v>
      </c>
      <c r="C623" s="105">
        <v>4</v>
      </c>
      <c r="D623" s="17" t="str">
        <f>IF(C623="","",VLOOKUP(C623,'Objekt Aufstellung'!$A$2:$B$51,2))</f>
        <v>Neanderstraße 15</v>
      </c>
      <c r="E623" s="17" t="s">
        <v>202</v>
      </c>
      <c r="F623" s="17" t="s">
        <v>169</v>
      </c>
      <c r="G623" s="18" t="s">
        <v>1343</v>
      </c>
      <c r="H623" s="17" t="s">
        <v>13</v>
      </c>
      <c r="I623" s="23" t="s">
        <v>119</v>
      </c>
      <c r="J623" s="17" t="s">
        <v>119</v>
      </c>
    </row>
    <row r="624" spans="1:10" ht="16" x14ac:dyDescent="0.2">
      <c r="A624" s="16">
        <v>332</v>
      </c>
      <c r="B624" s="34">
        <v>43775</v>
      </c>
      <c r="C624" s="105">
        <v>19</v>
      </c>
      <c r="D624" s="17" t="str">
        <f>IF(C624="","",VLOOKUP(C624,'Objekt Aufstellung'!$A$2:$B$51,2))</f>
        <v>Alte Bachstraße 25</v>
      </c>
      <c r="E624" s="17" t="s">
        <v>1344</v>
      </c>
      <c r="F624" s="17" t="s">
        <v>1312</v>
      </c>
      <c r="G624" s="18" t="s">
        <v>1345</v>
      </c>
      <c r="H624" s="17" t="s">
        <v>13</v>
      </c>
      <c r="I624" s="23" t="s">
        <v>119</v>
      </c>
      <c r="J624" s="17" t="s">
        <v>119</v>
      </c>
    </row>
    <row r="625" spans="1:10" ht="16" x14ac:dyDescent="0.2">
      <c r="A625" s="16">
        <v>333</v>
      </c>
      <c r="B625" s="34">
        <v>43775</v>
      </c>
      <c r="C625" s="105">
        <v>8</v>
      </c>
      <c r="D625" s="17" t="str">
        <f>IF(C625="","",VLOOKUP(C625,'Objekt Aufstellung'!$A$2:$B$51,2))</f>
        <v>Schützenstraße 20</v>
      </c>
      <c r="E625" s="17" t="s">
        <v>36</v>
      </c>
      <c r="F625" s="17" t="s">
        <v>1346</v>
      </c>
      <c r="G625" s="18" t="s">
        <v>1347</v>
      </c>
      <c r="H625" s="17" t="s">
        <v>13</v>
      </c>
      <c r="I625" s="23" t="s">
        <v>945</v>
      </c>
      <c r="J625" s="21" t="s">
        <v>411</v>
      </c>
    </row>
    <row r="626" spans="1:10" ht="16" x14ac:dyDescent="0.2">
      <c r="A626" s="16">
        <v>334</v>
      </c>
      <c r="B626" s="34">
        <v>43773</v>
      </c>
      <c r="C626" s="105">
        <v>1</v>
      </c>
      <c r="D626" s="17" t="str">
        <f>IF(C626="","",VLOOKUP(C626,'Objekt Aufstellung'!$A$2:$B$51,2))</f>
        <v>Roßstraße 9</v>
      </c>
      <c r="E626" s="17" t="s">
        <v>358</v>
      </c>
      <c r="F626" s="17" t="s">
        <v>1348</v>
      </c>
      <c r="G626" s="18" t="s">
        <v>1349</v>
      </c>
      <c r="H626" s="17" t="s">
        <v>13</v>
      </c>
      <c r="I626" s="23" t="s">
        <v>14</v>
      </c>
      <c r="J626" s="17" t="s">
        <v>14</v>
      </c>
    </row>
    <row r="627" spans="1:10" ht="16" x14ac:dyDescent="0.2">
      <c r="A627" s="16">
        <v>336</v>
      </c>
      <c r="B627" s="34">
        <v>43777</v>
      </c>
      <c r="C627" s="105">
        <v>4</v>
      </c>
      <c r="D627" s="17" t="str">
        <f>IF(C627="","",VLOOKUP(C627,'Objekt Aufstellung'!$A$2:$B$51,2))</f>
        <v>Neanderstraße 15</v>
      </c>
      <c r="E627" s="17" t="s">
        <v>138</v>
      </c>
      <c r="F627" s="17" t="s">
        <v>1350</v>
      </c>
      <c r="G627" s="18" t="s">
        <v>1351</v>
      </c>
      <c r="H627" s="17" t="s">
        <v>13</v>
      </c>
      <c r="I627" s="23" t="s">
        <v>181</v>
      </c>
      <c r="J627" s="17" t="s">
        <v>181</v>
      </c>
    </row>
    <row r="628" spans="1:10" ht="16" x14ac:dyDescent="0.2">
      <c r="A628" s="16">
        <v>337</v>
      </c>
      <c r="B628" s="34">
        <v>43777</v>
      </c>
      <c r="C628" s="105">
        <v>48</v>
      </c>
      <c r="D628" s="17" t="str">
        <f>IF(C628="","",VLOOKUP(C628,'Objekt Aufstellung'!$A$2:$B$51,2))</f>
        <v>Mendelsohnstraße 3</v>
      </c>
      <c r="E628" s="17" t="s">
        <v>693</v>
      </c>
      <c r="F628" s="17" t="s">
        <v>1352</v>
      </c>
      <c r="G628" s="18" t="s">
        <v>1353</v>
      </c>
      <c r="H628" s="17" t="s">
        <v>13</v>
      </c>
      <c r="I628" s="23" t="s">
        <v>14</v>
      </c>
      <c r="J628" s="21" t="s">
        <v>14</v>
      </c>
    </row>
    <row r="629" spans="1:10" ht="16" x14ac:dyDescent="0.2">
      <c r="A629" s="16">
        <v>338</v>
      </c>
      <c r="B629" s="34">
        <v>43777</v>
      </c>
      <c r="C629" s="105">
        <v>25</v>
      </c>
      <c r="D629" s="17" t="str">
        <f>IF(C629="","",VLOOKUP(C629,'Objekt Aufstellung'!$A$2:$B$51,2))</f>
        <v>Koppelskamp 10</v>
      </c>
      <c r="E629" s="17" t="s">
        <v>1240</v>
      </c>
      <c r="F629" s="17"/>
      <c r="G629" s="18" t="s">
        <v>1354</v>
      </c>
      <c r="H629" s="17" t="s">
        <v>23</v>
      </c>
      <c r="I629" s="23" t="s">
        <v>14</v>
      </c>
      <c r="J629" s="17" t="s">
        <v>114</v>
      </c>
    </row>
    <row r="630" spans="1:10" ht="16" x14ac:dyDescent="0.2">
      <c r="A630" s="16">
        <v>339</v>
      </c>
      <c r="B630" s="34">
        <v>43777</v>
      </c>
      <c r="C630" s="105">
        <v>19</v>
      </c>
      <c r="D630" s="17" t="str">
        <f>IF(C630="","",VLOOKUP(C630,'Objekt Aufstellung'!$A$2:$B$51,2))</f>
        <v>Alte Bachstraße 25</v>
      </c>
      <c r="E630" s="17" t="s">
        <v>1007</v>
      </c>
      <c r="F630" s="17" t="s">
        <v>1157</v>
      </c>
      <c r="G630" s="18" t="s">
        <v>1355</v>
      </c>
      <c r="H630" s="17" t="s">
        <v>13</v>
      </c>
      <c r="I630" s="23" t="s">
        <v>914</v>
      </c>
      <c r="J630" s="17" t="s">
        <v>914</v>
      </c>
    </row>
    <row r="631" spans="1:10" ht="16" x14ac:dyDescent="0.2">
      <c r="A631" s="16">
        <v>340</v>
      </c>
      <c r="B631" s="34">
        <v>43780</v>
      </c>
      <c r="C631" s="105">
        <v>35</v>
      </c>
      <c r="D631" s="17" t="str">
        <f>IF(C631="","",VLOOKUP(C631,'Objekt Aufstellung'!$A$2:$B$51,2))</f>
        <v>Lintorfer Waldstraße 6</v>
      </c>
      <c r="E631" s="17" t="s">
        <v>351</v>
      </c>
      <c r="F631" s="17"/>
      <c r="G631" s="18" t="s">
        <v>1356</v>
      </c>
      <c r="H631" s="17" t="s">
        <v>23</v>
      </c>
      <c r="I631" s="23" t="s">
        <v>14</v>
      </c>
      <c r="J631" s="21" t="s">
        <v>14</v>
      </c>
    </row>
    <row r="632" spans="1:10" ht="16" x14ac:dyDescent="0.2">
      <c r="A632" s="16">
        <v>341</v>
      </c>
      <c r="B632" s="34">
        <v>43780</v>
      </c>
      <c r="C632" s="105">
        <v>37</v>
      </c>
      <c r="D632" s="17" t="str">
        <f>IF(C632="","",VLOOKUP(C632,'Objekt Aufstellung'!$A$2:$B$51,2))</f>
        <v>Lintorfer Waldstraße 10</v>
      </c>
      <c r="E632" s="17" t="s">
        <v>351</v>
      </c>
      <c r="F632" s="17" t="s">
        <v>352</v>
      </c>
      <c r="G632" s="18" t="s">
        <v>1357</v>
      </c>
      <c r="H632" s="17" t="s">
        <v>13</v>
      </c>
      <c r="I632" s="23" t="s">
        <v>76</v>
      </c>
      <c r="J632" s="21" t="s">
        <v>76</v>
      </c>
    </row>
    <row r="633" spans="1:10" ht="16" x14ac:dyDescent="0.2">
      <c r="A633" s="16">
        <v>342</v>
      </c>
      <c r="B633" s="34">
        <v>43780</v>
      </c>
      <c r="C633" s="105">
        <v>48</v>
      </c>
      <c r="D633" s="17" t="str">
        <f>IF(C633="","",VLOOKUP(C633,'Objekt Aufstellung'!$A$2:$B$51,2))</f>
        <v>Mendelsohnstraße 3</v>
      </c>
      <c r="E633" s="17" t="s">
        <v>740</v>
      </c>
      <c r="F633" s="17" t="s">
        <v>17</v>
      </c>
      <c r="G633" s="18" t="s">
        <v>1093</v>
      </c>
      <c r="H633" s="17" t="s">
        <v>13</v>
      </c>
      <c r="I633" s="23" t="s">
        <v>14</v>
      </c>
      <c r="J633" s="21" t="s">
        <v>14</v>
      </c>
    </row>
    <row r="634" spans="1:10" ht="16" x14ac:dyDescent="0.2">
      <c r="A634" s="16">
        <v>343</v>
      </c>
      <c r="B634" s="34">
        <v>43780</v>
      </c>
      <c r="C634" s="105">
        <v>48</v>
      </c>
      <c r="D634" s="17" t="str">
        <f>IF(C634="","",VLOOKUP(C634,'Objekt Aufstellung'!$A$2:$B$51,2))</f>
        <v>Mendelsohnstraße 3</v>
      </c>
      <c r="E634" s="17" t="s">
        <v>149</v>
      </c>
      <c r="F634" s="17" t="s">
        <v>17</v>
      </c>
      <c r="G634" s="18" t="s">
        <v>1358</v>
      </c>
      <c r="H634" s="17" t="s">
        <v>13</v>
      </c>
      <c r="I634" s="23" t="s">
        <v>14</v>
      </c>
      <c r="J634" s="21" t="s">
        <v>14</v>
      </c>
    </row>
    <row r="635" spans="1:10" ht="16" x14ac:dyDescent="0.2">
      <c r="A635" s="16">
        <v>344</v>
      </c>
      <c r="B635" s="34">
        <v>43780</v>
      </c>
      <c r="C635" s="105">
        <v>48</v>
      </c>
      <c r="D635" s="17" t="str">
        <f>IF(C635="","",VLOOKUP(C635,'Objekt Aufstellung'!$A$2:$B$51,2))</f>
        <v>Mendelsohnstraße 3</v>
      </c>
      <c r="E635" s="17" t="s">
        <v>16</v>
      </c>
      <c r="F635" s="17" t="s">
        <v>17</v>
      </c>
      <c r="G635" s="18" t="s">
        <v>1093</v>
      </c>
      <c r="H635" s="17" t="s">
        <v>13</v>
      </c>
      <c r="I635" s="23" t="s">
        <v>14</v>
      </c>
      <c r="J635" s="21" t="s">
        <v>14</v>
      </c>
    </row>
    <row r="636" spans="1:10" ht="16" x14ac:dyDescent="0.2">
      <c r="A636" s="16">
        <v>345</v>
      </c>
      <c r="B636" s="34">
        <v>43780</v>
      </c>
      <c r="C636" s="105">
        <v>48</v>
      </c>
      <c r="D636" s="17" t="str">
        <f>IF(C636="","",VLOOKUP(C636,'Objekt Aufstellung'!$A$2:$B$51,2))</f>
        <v>Mendelsohnstraße 3</v>
      </c>
      <c r="E636" s="17" t="s">
        <v>1359</v>
      </c>
      <c r="F636" s="17" t="s">
        <v>17</v>
      </c>
      <c r="G636" s="18" t="s">
        <v>1360</v>
      </c>
      <c r="H636" s="17" t="s">
        <v>13</v>
      </c>
      <c r="I636" s="23" t="s">
        <v>411</v>
      </c>
      <c r="J636" s="21" t="s">
        <v>411</v>
      </c>
    </row>
    <row r="637" spans="1:10" ht="16" x14ac:dyDescent="0.2">
      <c r="A637" s="16">
        <v>346</v>
      </c>
      <c r="B637" s="34">
        <v>43780</v>
      </c>
      <c r="C637" s="105">
        <v>36</v>
      </c>
      <c r="D637" s="17" t="s">
        <v>186</v>
      </c>
      <c r="E637" s="17" t="s">
        <v>78</v>
      </c>
      <c r="F637" s="17"/>
      <c r="G637" s="18" t="s">
        <v>1361</v>
      </c>
      <c r="H637" s="17" t="s">
        <v>23</v>
      </c>
      <c r="I637" s="23" t="s">
        <v>14</v>
      </c>
      <c r="J637" s="17" t="s">
        <v>14</v>
      </c>
    </row>
    <row r="638" spans="1:10" ht="16" x14ac:dyDescent="0.2">
      <c r="A638" s="16">
        <v>346</v>
      </c>
      <c r="B638" s="34">
        <v>43781</v>
      </c>
      <c r="C638" s="105">
        <v>1</v>
      </c>
      <c r="D638" s="17" t="str">
        <f>IF(C638="","",VLOOKUP(C638,'Objekt Aufstellung'!$A$2:$B$51,2))</f>
        <v>Roßstraße 9</v>
      </c>
      <c r="E638" s="17" t="s">
        <v>1075</v>
      </c>
      <c r="F638" s="17" t="s">
        <v>1362</v>
      </c>
      <c r="G638" s="18" t="s">
        <v>1363</v>
      </c>
      <c r="H638" s="17" t="s">
        <v>13</v>
      </c>
      <c r="I638" s="23" t="s">
        <v>909</v>
      </c>
      <c r="J638" s="17" t="s">
        <v>909</v>
      </c>
    </row>
    <row r="639" spans="1:10" ht="16" x14ac:dyDescent="0.2">
      <c r="A639" s="16">
        <v>347</v>
      </c>
      <c r="B639" s="34">
        <v>43781</v>
      </c>
      <c r="C639" s="105">
        <v>2</v>
      </c>
      <c r="D639" s="17" t="str">
        <f>IF(C639="","",VLOOKUP(C639,'Objekt Aufstellung'!$A$2:$B$51,2))</f>
        <v>Pfalzstraße 17</v>
      </c>
      <c r="E639" s="17" t="s">
        <v>43</v>
      </c>
      <c r="F639" s="17" t="s">
        <v>1364</v>
      </c>
      <c r="G639" s="18" t="s">
        <v>1365</v>
      </c>
      <c r="H639" s="17" t="s">
        <v>13</v>
      </c>
      <c r="I639" s="36" t="s">
        <v>706</v>
      </c>
      <c r="J639" s="36" t="s">
        <v>706</v>
      </c>
    </row>
    <row r="640" spans="1:10" ht="16" x14ac:dyDescent="0.2">
      <c r="A640" s="16">
        <v>348</v>
      </c>
      <c r="B640" s="34">
        <v>43781</v>
      </c>
      <c r="C640" s="105">
        <v>43</v>
      </c>
      <c r="D640" s="17" t="str">
        <f>IF(C640="","",VLOOKUP(C640,'Objekt Aufstellung'!$A$2:$B$51,2))</f>
        <v>Neumühler Straße 35</v>
      </c>
      <c r="E640" s="17" t="s">
        <v>358</v>
      </c>
      <c r="F640" s="17" t="s">
        <v>17</v>
      </c>
      <c r="G640" s="18" t="s">
        <v>1366</v>
      </c>
      <c r="H640" s="17" t="s">
        <v>13</v>
      </c>
      <c r="I640" s="23" t="s">
        <v>900</v>
      </c>
      <c r="J640" s="17" t="s">
        <v>900</v>
      </c>
    </row>
    <row r="641" spans="1:10" ht="16" x14ac:dyDescent="0.2">
      <c r="A641" s="16">
        <v>349</v>
      </c>
      <c r="B641" s="34">
        <v>43783</v>
      </c>
      <c r="C641" s="105">
        <v>19</v>
      </c>
      <c r="D641" s="17" t="str">
        <f>IF(C641="","",VLOOKUP(C641,'Objekt Aufstellung'!$A$2:$B$51,2))</f>
        <v>Alte Bachstraße 25</v>
      </c>
      <c r="E641" s="17" t="s">
        <v>1203</v>
      </c>
      <c r="F641" s="17" t="s">
        <v>1204</v>
      </c>
      <c r="G641" s="18" t="s">
        <v>1367</v>
      </c>
      <c r="H641" s="17" t="s">
        <v>23</v>
      </c>
      <c r="I641" s="23" t="s">
        <v>14</v>
      </c>
      <c r="J641" s="21"/>
    </row>
    <row r="642" spans="1:10" ht="16" x14ac:dyDescent="0.2">
      <c r="A642" s="16">
        <v>350</v>
      </c>
      <c r="B642" s="34">
        <v>43787</v>
      </c>
      <c r="C642" s="105">
        <v>7</v>
      </c>
      <c r="D642" s="17" t="str">
        <f>IF(C642="","",VLOOKUP(C642,'Objekt Aufstellung'!$A$2:$B$51,2))</f>
        <v>Engerstraße 3</v>
      </c>
      <c r="E642" s="17" t="s">
        <v>712</v>
      </c>
      <c r="F642" s="17" t="s">
        <v>17</v>
      </c>
      <c r="G642" s="18" t="s">
        <v>1368</v>
      </c>
      <c r="H642" s="17" t="s">
        <v>1266</v>
      </c>
      <c r="I642" s="23" t="s">
        <v>900</v>
      </c>
      <c r="J642" s="17" t="s">
        <v>900</v>
      </c>
    </row>
    <row r="643" spans="1:10" ht="16" x14ac:dyDescent="0.2">
      <c r="A643" s="16">
        <v>351</v>
      </c>
      <c r="B643" s="34">
        <v>43787</v>
      </c>
      <c r="C643" s="105">
        <v>19</v>
      </c>
      <c r="D643" s="17" t="str">
        <f>IF(C643="","",VLOOKUP(C643,'Objekt Aufstellung'!$A$2:$B$51,2))</f>
        <v>Alte Bachstraße 25</v>
      </c>
      <c r="E643" s="17" t="s">
        <v>1369</v>
      </c>
      <c r="F643" s="17" t="s">
        <v>1370</v>
      </c>
      <c r="G643" s="18" t="s">
        <v>1371</v>
      </c>
      <c r="H643" s="17" t="s">
        <v>23</v>
      </c>
      <c r="I643" s="23" t="s">
        <v>14</v>
      </c>
      <c r="J643" s="17" t="s">
        <v>14</v>
      </c>
    </row>
    <row r="644" spans="1:10" ht="16" x14ac:dyDescent="0.2">
      <c r="A644" s="16">
        <v>352</v>
      </c>
      <c r="B644" s="34">
        <v>43766</v>
      </c>
      <c r="C644" s="105">
        <v>6</v>
      </c>
      <c r="D644" s="17" t="str">
        <f>IF(C644="","",VLOOKUP(C644,'Objekt Aufstellung'!$A$2:$B$51,2))</f>
        <v>Lindenstraße 267</v>
      </c>
      <c r="E644" s="17" t="s">
        <v>264</v>
      </c>
      <c r="F644" s="17"/>
      <c r="G644" s="18" t="s">
        <v>1372</v>
      </c>
      <c r="H644" s="17" t="s">
        <v>119</v>
      </c>
      <c r="I644" s="23" t="s">
        <v>181</v>
      </c>
      <c r="J644" s="17" t="s">
        <v>181</v>
      </c>
    </row>
    <row r="645" spans="1:10" ht="16" x14ac:dyDescent="0.2">
      <c r="A645" s="16">
        <v>353</v>
      </c>
      <c r="B645" s="34">
        <v>43787</v>
      </c>
      <c r="C645" s="105">
        <v>6</v>
      </c>
      <c r="D645" s="17" t="str">
        <f>IF(C645="","",VLOOKUP(C645,'Objekt Aufstellung'!$A$2:$B$51,2))</f>
        <v>Lindenstraße 267</v>
      </c>
      <c r="E645" s="17" t="s">
        <v>16</v>
      </c>
      <c r="F645" s="17" t="s">
        <v>1373</v>
      </c>
      <c r="G645" s="18" t="s">
        <v>1374</v>
      </c>
      <c r="H645" s="17" t="s">
        <v>13</v>
      </c>
      <c r="I645" s="23" t="s">
        <v>909</v>
      </c>
      <c r="J645" s="21" t="s">
        <v>909</v>
      </c>
    </row>
    <row r="646" spans="1:10" ht="16" x14ac:dyDescent="0.2">
      <c r="A646" s="16">
        <v>354</v>
      </c>
      <c r="B646" s="34">
        <v>43787</v>
      </c>
      <c r="C646" s="105">
        <v>31</v>
      </c>
      <c r="D646" s="17" t="str">
        <f>IF(C646="","",VLOOKUP(C646,'Objekt Aufstellung'!$A$2:$B$51,2))</f>
        <v>Angermunder Straße 30</v>
      </c>
      <c r="E646" s="17" t="s">
        <v>735</v>
      </c>
      <c r="F646" s="17" t="s">
        <v>1375</v>
      </c>
      <c r="G646" s="18" t="s">
        <v>1376</v>
      </c>
      <c r="H646" s="17" t="s">
        <v>1266</v>
      </c>
      <c r="I646" s="23" t="s">
        <v>900</v>
      </c>
      <c r="J646" s="21" t="s">
        <v>967</v>
      </c>
    </row>
    <row r="647" spans="1:10" ht="16" x14ac:dyDescent="0.2">
      <c r="A647" s="16">
        <v>355</v>
      </c>
      <c r="B647" s="34">
        <v>43787</v>
      </c>
      <c r="C647" s="105">
        <v>10</v>
      </c>
      <c r="D647" s="17" t="str">
        <f>IF(C647="","",VLOOKUP(C647,'Objekt Aufstellung'!$A$2:$B$51,2))</f>
        <v>Driburger Straße 8</v>
      </c>
      <c r="E647" s="17" t="s">
        <v>467</v>
      </c>
      <c r="F647" s="17" t="s">
        <v>1377</v>
      </c>
      <c r="G647" s="18" t="s">
        <v>1378</v>
      </c>
      <c r="H647" s="17" t="s">
        <v>13</v>
      </c>
      <c r="I647" s="23" t="s">
        <v>181</v>
      </c>
      <c r="J647" s="21" t="s">
        <v>181</v>
      </c>
    </row>
    <row r="648" spans="1:10" ht="16" x14ac:dyDescent="0.2">
      <c r="A648" s="16">
        <v>356</v>
      </c>
      <c r="B648" s="34">
        <v>43788</v>
      </c>
      <c r="C648" s="105">
        <v>44</v>
      </c>
      <c r="D648" s="17" t="str">
        <f>IF(C648="","",VLOOKUP(C648,'Objekt Aufstellung'!$A$2:$B$51,2))</f>
        <v>Neumühler Straße 37</v>
      </c>
      <c r="E648" s="17" t="s">
        <v>10</v>
      </c>
      <c r="F648" s="17" t="s">
        <v>411</v>
      </c>
      <c r="G648" s="18" t="s">
        <v>1379</v>
      </c>
      <c r="H648" s="17" t="s">
        <v>13</v>
      </c>
      <c r="I648" s="23" t="s">
        <v>900</v>
      </c>
      <c r="J648" s="17" t="s">
        <v>900</v>
      </c>
    </row>
    <row r="649" spans="1:10" ht="16" x14ac:dyDescent="0.2">
      <c r="A649" s="16">
        <v>356</v>
      </c>
      <c r="B649" s="34">
        <v>43787</v>
      </c>
      <c r="C649" s="105">
        <v>44</v>
      </c>
      <c r="D649" s="17" t="str">
        <f>IF(C649="","",VLOOKUP(C649,'Objekt Aufstellung'!$A$2:$B$51,2))</f>
        <v>Neumühler Straße 37</v>
      </c>
      <c r="E649" s="17" t="s">
        <v>10</v>
      </c>
      <c r="F649" s="17" t="s">
        <v>411</v>
      </c>
      <c r="G649" s="18" t="s">
        <v>1380</v>
      </c>
      <c r="H649" s="17" t="s">
        <v>13</v>
      </c>
      <c r="I649" s="36" t="s">
        <v>706</v>
      </c>
      <c r="J649" s="36" t="s">
        <v>706</v>
      </c>
    </row>
    <row r="650" spans="1:10" ht="16" x14ac:dyDescent="0.2">
      <c r="A650" s="16">
        <v>357</v>
      </c>
      <c r="B650" s="34">
        <v>43788</v>
      </c>
      <c r="C650" s="105">
        <v>1</v>
      </c>
      <c r="D650" s="17" t="str">
        <f>IF(C650="","",VLOOKUP(C650,'Objekt Aufstellung'!$A$2:$B$51,2))</f>
        <v>Roßstraße 9</v>
      </c>
      <c r="E650" s="17" t="s">
        <v>43</v>
      </c>
      <c r="F650" s="17" t="s">
        <v>1381</v>
      </c>
      <c r="G650" s="18" t="s">
        <v>1382</v>
      </c>
      <c r="H650" s="17" t="s">
        <v>13</v>
      </c>
      <c r="I650" s="36" t="s">
        <v>706</v>
      </c>
      <c r="J650" s="36" t="s">
        <v>706</v>
      </c>
    </row>
    <row r="651" spans="1:10" ht="16" x14ac:dyDescent="0.2">
      <c r="A651" s="16">
        <v>358</v>
      </c>
      <c r="B651" s="34">
        <v>43788</v>
      </c>
      <c r="C651" s="105">
        <v>1</v>
      </c>
      <c r="D651" s="17" t="str">
        <f>IF(C651="","",VLOOKUP(C651,'Objekt Aufstellung'!$A$2:$B$51,2))</f>
        <v>Roßstraße 9</v>
      </c>
      <c r="E651" s="17" t="s">
        <v>43</v>
      </c>
      <c r="F651" s="17" t="s">
        <v>1383</v>
      </c>
      <c r="G651" s="18" t="s">
        <v>1384</v>
      </c>
      <c r="H651" s="17" t="s">
        <v>13</v>
      </c>
      <c r="I651" s="36" t="s">
        <v>706</v>
      </c>
      <c r="J651" s="36" t="s">
        <v>706</v>
      </c>
    </row>
    <row r="652" spans="1:10" ht="16" x14ac:dyDescent="0.2">
      <c r="A652" s="16">
        <v>359</v>
      </c>
      <c r="B652" s="34">
        <v>43788</v>
      </c>
      <c r="C652" s="105">
        <v>43</v>
      </c>
      <c r="D652" s="17" t="str">
        <f>IF(C652="","",VLOOKUP(C652,'Objekt Aufstellung'!$A$2:$B$51,2))</f>
        <v>Neumühler Straße 35</v>
      </c>
      <c r="E652" s="17" t="s">
        <v>202</v>
      </c>
      <c r="F652" s="17" t="s">
        <v>1385</v>
      </c>
      <c r="G652" s="18" t="s">
        <v>1386</v>
      </c>
      <c r="H652" s="17" t="s">
        <v>13</v>
      </c>
      <c r="I652" s="23" t="s">
        <v>19</v>
      </c>
      <c r="J652" s="21"/>
    </row>
    <row r="653" spans="1:10" ht="16" x14ac:dyDescent="0.2">
      <c r="A653" s="16">
        <v>360</v>
      </c>
      <c r="B653" s="34">
        <v>43788</v>
      </c>
      <c r="C653" s="105">
        <v>32</v>
      </c>
      <c r="D653" s="17" t="str">
        <f>IF(C653="","",VLOOKUP(C653,'Objekt Aufstellung'!$A$2:$B$51,2))</f>
        <v>Koppelskamp 5</v>
      </c>
      <c r="E653" s="17" t="s">
        <v>467</v>
      </c>
      <c r="F653" s="17" t="s">
        <v>248</v>
      </c>
      <c r="G653" s="18" t="s">
        <v>1387</v>
      </c>
      <c r="H653" s="17" t="s">
        <v>13</v>
      </c>
      <c r="I653" s="23" t="s">
        <v>921</v>
      </c>
      <c r="J653" s="21" t="s">
        <v>921</v>
      </c>
    </row>
    <row r="654" spans="1:10" ht="16" x14ac:dyDescent="0.2">
      <c r="A654" s="16">
        <v>361</v>
      </c>
      <c r="B654" s="34">
        <v>43789</v>
      </c>
      <c r="C654" s="105">
        <v>29</v>
      </c>
      <c r="D654" s="17" t="s">
        <v>98</v>
      </c>
      <c r="E654" s="17" t="s">
        <v>1388</v>
      </c>
      <c r="F654" s="17"/>
      <c r="G654" s="18" t="s">
        <v>1389</v>
      </c>
      <c r="H654" s="17" t="s">
        <v>58</v>
      </c>
      <c r="I654" s="36" t="s">
        <v>706</v>
      </c>
      <c r="J654" s="36" t="s">
        <v>706</v>
      </c>
    </row>
    <row r="655" spans="1:10" ht="64" x14ac:dyDescent="0.2">
      <c r="A655" s="16">
        <v>362</v>
      </c>
      <c r="B655" s="34">
        <v>43789</v>
      </c>
      <c r="C655" s="105">
        <v>7</v>
      </c>
      <c r="D655" s="17" t="s">
        <v>818</v>
      </c>
      <c r="E655" s="17" t="s">
        <v>637</v>
      </c>
      <c r="F655" s="17" t="s">
        <v>731</v>
      </c>
      <c r="G655" s="18" t="s">
        <v>1390</v>
      </c>
      <c r="H655" s="17" t="s">
        <v>58</v>
      </c>
      <c r="I655" s="23" t="s">
        <v>119</v>
      </c>
      <c r="J655" s="17" t="s">
        <v>119</v>
      </c>
    </row>
    <row r="656" spans="1:10" ht="80" x14ac:dyDescent="0.2">
      <c r="A656" s="16">
        <v>363</v>
      </c>
      <c r="B656" s="34">
        <v>43790</v>
      </c>
      <c r="C656" s="105">
        <v>11</v>
      </c>
      <c r="D656" s="17" t="str">
        <f>IF(C656="","",VLOOKUP(C656,'Objekt Aufstellung'!$A$2:$B$51,2))</f>
        <v>Kölner Landstraße 261</v>
      </c>
      <c r="E656" s="17" t="s">
        <v>1391</v>
      </c>
      <c r="F656" s="17" t="s">
        <v>497</v>
      </c>
      <c r="G656" s="18" t="s">
        <v>1392</v>
      </c>
      <c r="H656" s="17" t="s">
        <v>58</v>
      </c>
      <c r="I656" s="23" t="s">
        <v>119</v>
      </c>
      <c r="J656" s="21" t="s">
        <v>119</v>
      </c>
    </row>
    <row r="657" spans="1:10" ht="16" x14ac:dyDescent="0.2">
      <c r="A657" s="16">
        <v>364</v>
      </c>
      <c r="B657" s="34">
        <v>43783</v>
      </c>
      <c r="C657" s="105">
        <v>6</v>
      </c>
      <c r="D657" s="17" t="str">
        <f>IF(C657="","",VLOOKUP(C657,'Objekt Aufstellung'!$A$2:$B$51,2))</f>
        <v>Lindenstraße 267</v>
      </c>
      <c r="E657" s="17" t="s">
        <v>16</v>
      </c>
      <c r="F657" s="17" t="s">
        <v>1373</v>
      </c>
      <c r="G657" s="18" t="s">
        <v>1393</v>
      </c>
      <c r="H657" s="17" t="s">
        <v>13</v>
      </c>
      <c r="I657" s="23" t="s">
        <v>181</v>
      </c>
      <c r="J657" s="17" t="s">
        <v>181</v>
      </c>
    </row>
    <row r="658" spans="1:10" ht="16" x14ac:dyDescent="0.2">
      <c r="A658" s="16">
        <v>365</v>
      </c>
      <c r="B658" s="34">
        <v>43791</v>
      </c>
      <c r="C658" s="105">
        <v>5</v>
      </c>
      <c r="D658" s="17" t="str">
        <f>IF(C658="","",VLOOKUP(C658,'Objekt Aufstellung'!$A$2:$B$51,2))</f>
        <v>Luisenstraße 3</v>
      </c>
      <c r="E658" s="17" t="s">
        <v>1306</v>
      </c>
      <c r="F658" s="17" t="s">
        <v>1394</v>
      </c>
      <c r="G658" s="18" t="s">
        <v>1395</v>
      </c>
      <c r="H658" s="17" t="s">
        <v>13</v>
      </c>
      <c r="I658" s="23" t="s">
        <v>181</v>
      </c>
      <c r="J658" s="21" t="s">
        <v>181</v>
      </c>
    </row>
    <row r="659" spans="1:10" ht="16" x14ac:dyDescent="0.2">
      <c r="A659" s="16">
        <v>366</v>
      </c>
      <c r="B659" s="34">
        <v>43791</v>
      </c>
      <c r="C659" s="105">
        <v>28</v>
      </c>
      <c r="D659" s="17" t="str">
        <f>IF(C659="","",VLOOKUP(C659,'Objekt Aufstellung'!$A$2:$B$51,2))</f>
        <v>Koppelskamp 8</v>
      </c>
      <c r="E659" s="17" t="s">
        <v>1396</v>
      </c>
      <c r="F659" s="17" t="s">
        <v>36</v>
      </c>
      <c r="G659" s="18" t="s">
        <v>1397</v>
      </c>
      <c r="H659" s="17" t="s">
        <v>13</v>
      </c>
      <c r="I659" s="23" t="s">
        <v>411</v>
      </c>
      <c r="J659" s="21" t="s">
        <v>411</v>
      </c>
    </row>
    <row r="660" spans="1:10" ht="16" x14ac:dyDescent="0.2">
      <c r="A660" s="16">
        <v>367</v>
      </c>
      <c r="B660" s="34">
        <v>43791</v>
      </c>
      <c r="C660" s="105">
        <v>1</v>
      </c>
      <c r="D660" s="17" t="str">
        <f>IF(C660="","",VLOOKUP(C660,'Objekt Aufstellung'!$A$2:$B$51,2))</f>
        <v>Roßstraße 9</v>
      </c>
      <c r="E660" s="17" t="s">
        <v>43</v>
      </c>
      <c r="F660" s="17" t="s">
        <v>791</v>
      </c>
      <c r="G660" s="18" t="s">
        <v>975</v>
      </c>
      <c r="H660" s="17" t="s">
        <v>13</v>
      </c>
      <c r="I660" s="36" t="s">
        <v>706</v>
      </c>
      <c r="J660" s="36" t="s">
        <v>706</v>
      </c>
    </row>
    <row r="661" spans="1:10" ht="16" x14ac:dyDescent="0.2">
      <c r="A661" s="16">
        <v>368</v>
      </c>
      <c r="B661" s="34">
        <v>43791</v>
      </c>
      <c r="C661" s="105">
        <v>15</v>
      </c>
      <c r="D661" s="17" t="str">
        <f>IF(C661="","",VLOOKUP(C661,'Objekt Aufstellung'!$A$2:$B$51,2))</f>
        <v>Hoppengarten 15</v>
      </c>
      <c r="E661" s="17" t="s">
        <v>36</v>
      </c>
      <c r="F661" s="17" t="s">
        <v>1398</v>
      </c>
      <c r="G661" s="18" t="s">
        <v>1399</v>
      </c>
      <c r="H661" s="17" t="s">
        <v>13</v>
      </c>
      <c r="I661" s="36" t="s">
        <v>706</v>
      </c>
      <c r="J661" s="36" t="s">
        <v>706</v>
      </c>
    </row>
    <row r="662" spans="1:10" ht="16" x14ac:dyDescent="0.2">
      <c r="A662" s="16">
        <v>369</v>
      </c>
      <c r="B662" s="34">
        <v>43791</v>
      </c>
      <c r="C662" s="105">
        <v>28</v>
      </c>
      <c r="D662" s="17" t="str">
        <f>IF(C662="","",VLOOKUP(C662,'Objekt Aufstellung'!$A$2:$B$51,2))</f>
        <v>Koppelskamp 8</v>
      </c>
      <c r="E662" s="17" t="s">
        <v>235</v>
      </c>
      <c r="F662" s="17" t="s">
        <v>1400</v>
      </c>
      <c r="G662" s="18" t="s">
        <v>1401</v>
      </c>
      <c r="H662" s="17" t="s">
        <v>1266</v>
      </c>
      <c r="I662" s="23" t="s">
        <v>14</v>
      </c>
      <c r="J662" s="21" t="s">
        <v>14</v>
      </c>
    </row>
    <row r="663" spans="1:10" ht="16" x14ac:dyDescent="0.2">
      <c r="A663" s="16">
        <v>370</v>
      </c>
      <c r="B663" s="34">
        <v>43791</v>
      </c>
      <c r="C663" s="105">
        <v>48</v>
      </c>
      <c r="D663" s="17" t="str">
        <f>IF(C663="","",VLOOKUP(C663,'Objekt Aufstellung'!$A$2:$B$51,2))</f>
        <v>Mendelsohnstraße 3</v>
      </c>
      <c r="E663" s="17" t="s">
        <v>229</v>
      </c>
      <c r="F663" s="17" t="s">
        <v>1402</v>
      </c>
      <c r="G663" s="18" t="s">
        <v>1403</v>
      </c>
      <c r="H663" s="17" t="s">
        <v>1266</v>
      </c>
      <c r="I663" s="23" t="s">
        <v>14</v>
      </c>
      <c r="J663" s="21" t="s">
        <v>14</v>
      </c>
    </row>
    <row r="664" spans="1:10" ht="16" x14ac:dyDescent="0.2">
      <c r="A664" s="16">
        <v>371</v>
      </c>
      <c r="B664" s="34">
        <v>43791</v>
      </c>
      <c r="C664" s="105">
        <v>43</v>
      </c>
      <c r="D664" s="17" t="str">
        <f>IF(C664="","",VLOOKUP(C664,'Objekt Aufstellung'!$A$2:$B$51,2))</f>
        <v>Neumühler Straße 35</v>
      </c>
      <c r="E664" s="17" t="s">
        <v>358</v>
      </c>
      <c r="F664" s="17" t="s">
        <v>17</v>
      </c>
      <c r="G664" s="18" t="s">
        <v>1404</v>
      </c>
      <c r="H664" s="17" t="s">
        <v>13</v>
      </c>
      <c r="I664" s="23" t="s">
        <v>914</v>
      </c>
      <c r="J664" s="21" t="s">
        <v>914</v>
      </c>
    </row>
    <row r="665" spans="1:10" ht="16" x14ac:dyDescent="0.2">
      <c r="A665" s="16">
        <v>372</v>
      </c>
      <c r="B665" s="34">
        <v>43794</v>
      </c>
      <c r="C665" s="105">
        <v>43</v>
      </c>
      <c r="D665" s="17" t="str">
        <f>IF(C665="","",VLOOKUP(C665,'Objekt Aufstellung'!$A$2:$B$51,2))</f>
        <v>Neumühler Straße 35</v>
      </c>
      <c r="E665" s="17" t="s">
        <v>358</v>
      </c>
      <c r="F665" s="17" t="s">
        <v>17</v>
      </c>
      <c r="G665" s="18" t="s">
        <v>1405</v>
      </c>
      <c r="H665" s="17" t="s">
        <v>13</v>
      </c>
      <c r="I665" s="23" t="s">
        <v>71</v>
      </c>
      <c r="J665" s="21" t="s">
        <v>71</v>
      </c>
    </row>
    <row r="666" spans="1:10" ht="16" x14ac:dyDescent="0.2">
      <c r="A666" s="16">
        <v>373</v>
      </c>
      <c r="B666" s="34">
        <v>43794</v>
      </c>
      <c r="C666" s="105">
        <v>33</v>
      </c>
      <c r="D666" s="17" t="str">
        <f>IF(C666="","",VLOOKUP(C666,'Objekt Aufstellung'!$A$2:$B$51,2))</f>
        <v>Koppelskamp 5a</v>
      </c>
      <c r="E666" s="17" t="s">
        <v>40</v>
      </c>
      <c r="F666" s="17" t="s">
        <v>1331</v>
      </c>
      <c r="G666" s="18" t="s">
        <v>1406</v>
      </c>
      <c r="H666" s="17" t="s">
        <v>13</v>
      </c>
      <c r="I666" s="23" t="s">
        <v>71</v>
      </c>
      <c r="J666" s="21" t="s">
        <v>71</v>
      </c>
    </row>
    <row r="667" spans="1:10" ht="16" x14ac:dyDescent="0.2">
      <c r="A667" s="16">
        <v>374</v>
      </c>
      <c r="B667" s="34">
        <v>43794</v>
      </c>
      <c r="C667" s="105">
        <v>2</v>
      </c>
      <c r="D667" s="17" t="str">
        <f>IF(C667="","",VLOOKUP(C667,'Objekt Aufstellung'!$A$2:$B$51,2))</f>
        <v>Pfalzstraße 17</v>
      </c>
      <c r="E667" s="17" t="s">
        <v>78</v>
      </c>
      <c r="F667" s="17"/>
      <c r="G667" s="18" t="s">
        <v>1407</v>
      </c>
      <c r="H667" s="17" t="s">
        <v>13</v>
      </c>
      <c r="I667" s="17" t="s">
        <v>950</v>
      </c>
      <c r="J667" s="21" t="s">
        <v>950</v>
      </c>
    </row>
    <row r="668" spans="1:10" ht="16" x14ac:dyDescent="0.2">
      <c r="A668" s="16">
        <v>375</v>
      </c>
      <c r="B668" s="34">
        <v>43794</v>
      </c>
      <c r="C668" s="105">
        <v>24</v>
      </c>
      <c r="D668" s="17" t="str">
        <f>IF(C668="","",VLOOKUP(C668,'Objekt Aufstellung'!$A$2:$B$51,2))</f>
        <v>Angerbenden 31</v>
      </c>
      <c r="E668" s="17" t="s">
        <v>693</v>
      </c>
      <c r="F668" s="17" t="s">
        <v>1408</v>
      </c>
      <c r="G668" s="18" t="s">
        <v>1409</v>
      </c>
      <c r="H668" s="17" t="s">
        <v>13</v>
      </c>
      <c r="I668" s="17" t="s">
        <v>136</v>
      </c>
      <c r="J668" s="21" t="s">
        <v>136</v>
      </c>
    </row>
    <row r="669" spans="1:10" ht="16" x14ac:dyDescent="0.2">
      <c r="A669" s="16">
        <v>376</v>
      </c>
      <c r="B669" s="34">
        <v>43712</v>
      </c>
      <c r="C669" s="105">
        <v>1</v>
      </c>
      <c r="D669" s="17" t="str">
        <f>IF(C669="","",VLOOKUP(C669,'Objekt Aufstellung'!$A$2:$B$51,2))</f>
        <v>Roßstraße 9</v>
      </c>
      <c r="E669" s="17" t="s">
        <v>1075</v>
      </c>
      <c r="F669" s="17"/>
      <c r="G669" s="18" t="s">
        <v>1410</v>
      </c>
      <c r="H669" s="17" t="s">
        <v>13</v>
      </c>
      <c r="I669" s="17" t="s">
        <v>950</v>
      </c>
      <c r="J669" s="17" t="s">
        <v>950</v>
      </c>
    </row>
    <row r="670" spans="1:10" ht="16" x14ac:dyDescent="0.2">
      <c r="A670" s="16">
        <v>377</v>
      </c>
      <c r="B670" s="34">
        <v>43794</v>
      </c>
      <c r="C670" s="105">
        <v>24</v>
      </c>
      <c r="D670" s="17" t="str">
        <f>IF(C670="","",VLOOKUP(C670,'Objekt Aufstellung'!$A$2:$B$51,2))</f>
        <v>Angerbenden 31</v>
      </c>
      <c r="E670" s="17" t="s">
        <v>693</v>
      </c>
      <c r="F670" s="17" t="s">
        <v>1408</v>
      </c>
      <c r="G670" s="18" t="s">
        <v>1411</v>
      </c>
      <c r="H670" s="17" t="s">
        <v>13</v>
      </c>
      <c r="I670" s="17" t="s">
        <v>19</v>
      </c>
      <c r="J670" s="21" t="s">
        <v>19</v>
      </c>
    </row>
    <row r="671" spans="1:10" ht="16" x14ac:dyDescent="0.2">
      <c r="A671" s="16">
        <v>378</v>
      </c>
      <c r="B671" s="34">
        <v>43794</v>
      </c>
      <c r="C671" s="105">
        <v>10</v>
      </c>
      <c r="D671" s="17" t="str">
        <f>IF(C671="","",VLOOKUP(C671,'Objekt Aufstellung'!$A$2:$B$51,2))</f>
        <v>Driburger Straße 8</v>
      </c>
      <c r="E671" s="17" t="s">
        <v>43</v>
      </c>
      <c r="F671" s="17"/>
      <c r="G671" s="18" t="s">
        <v>1412</v>
      </c>
      <c r="H671" s="17" t="s">
        <v>13</v>
      </c>
      <c r="I671" s="36" t="s">
        <v>706</v>
      </c>
      <c r="J671" s="36" t="s">
        <v>706</v>
      </c>
    </row>
    <row r="672" spans="1:10" ht="16" x14ac:dyDescent="0.2">
      <c r="A672" s="16">
        <v>379</v>
      </c>
      <c r="B672" s="34">
        <v>43794</v>
      </c>
      <c r="C672" s="105">
        <v>25</v>
      </c>
      <c r="D672" s="17" t="str">
        <f>IF(C672="","",VLOOKUP(C672,'Objekt Aufstellung'!$A$2:$B$51,2))</f>
        <v>Koppelskamp 10</v>
      </c>
      <c r="E672" s="17" t="s">
        <v>1413</v>
      </c>
      <c r="F672" s="17"/>
      <c r="G672" s="18" t="s">
        <v>1414</v>
      </c>
      <c r="H672" s="17" t="s">
        <v>13</v>
      </c>
      <c r="I672" s="23" t="s">
        <v>900</v>
      </c>
      <c r="J672" s="21" t="s">
        <v>900</v>
      </c>
    </row>
    <row r="673" spans="1:11" ht="16" x14ac:dyDescent="0.2">
      <c r="A673" s="16">
        <v>380</v>
      </c>
      <c r="B673" s="34">
        <v>43794</v>
      </c>
      <c r="C673" s="105">
        <v>29</v>
      </c>
      <c r="D673" s="17" t="str">
        <f>IF(C673="","",VLOOKUP(C673,'Objekt Aufstellung'!$A$2:$B$51,2))</f>
        <v>Bismarckstraße 109</v>
      </c>
      <c r="E673" s="17" t="s">
        <v>32</v>
      </c>
      <c r="F673" s="17" t="s">
        <v>1293</v>
      </c>
      <c r="G673" s="18" t="s">
        <v>1415</v>
      </c>
      <c r="H673" s="17" t="s">
        <v>13</v>
      </c>
      <c r="I673" s="23" t="s">
        <v>900</v>
      </c>
      <c r="J673" s="21" t="s">
        <v>900</v>
      </c>
    </row>
    <row r="674" spans="1:11" ht="16" x14ac:dyDescent="0.2">
      <c r="A674" s="16">
        <v>381</v>
      </c>
      <c r="B674" s="34">
        <v>43795</v>
      </c>
      <c r="C674" s="105">
        <v>25</v>
      </c>
      <c r="D674" s="17" t="str">
        <f>IF(C674="","",VLOOKUP(C674,'Objekt Aufstellung'!$A$2:$B$51,2))</f>
        <v>Koppelskamp 10</v>
      </c>
      <c r="E674" s="17" t="s">
        <v>351</v>
      </c>
      <c r="F674" s="17"/>
      <c r="G674" s="18" t="s">
        <v>1416</v>
      </c>
      <c r="H674" s="17" t="s">
        <v>13</v>
      </c>
      <c r="I674" s="23" t="s">
        <v>411</v>
      </c>
      <c r="J674" s="21" t="s">
        <v>411</v>
      </c>
    </row>
    <row r="675" spans="1:11" ht="16" x14ac:dyDescent="0.2">
      <c r="A675" s="16">
        <v>382</v>
      </c>
      <c r="B675" s="34">
        <v>43795</v>
      </c>
      <c r="C675" s="105">
        <v>28</v>
      </c>
      <c r="D675" s="17" t="str">
        <f>IF(C675="","",VLOOKUP(C675,'Objekt Aufstellung'!$A$2:$B$51,2))</f>
        <v>Koppelskamp 8</v>
      </c>
      <c r="E675" s="75" t="s">
        <v>1417</v>
      </c>
      <c r="F675" s="17" t="s">
        <v>1418</v>
      </c>
      <c r="G675" s="18" t="s">
        <v>1419</v>
      </c>
      <c r="H675" s="17" t="s">
        <v>13</v>
      </c>
      <c r="I675" s="23" t="s">
        <v>19</v>
      </c>
      <c r="J675" s="21" t="s">
        <v>252</v>
      </c>
    </row>
    <row r="676" spans="1:11" ht="16" x14ac:dyDescent="0.2">
      <c r="A676" s="16">
        <v>383</v>
      </c>
      <c r="B676" s="34">
        <v>43796</v>
      </c>
      <c r="C676" s="105">
        <v>2</v>
      </c>
      <c r="D676" s="17" t="str">
        <f>IF(C676="","",VLOOKUP(C676,'Objekt Aufstellung'!$A$2:$B$51,2))</f>
        <v>Pfalzstraße 17</v>
      </c>
      <c r="E676" s="17" t="s">
        <v>43</v>
      </c>
      <c r="F676" s="17"/>
      <c r="G676" s="18" t="s">
        <v>1420</v>
      </c>
      <c r="H676" s="17" t="s">
        <v>13</v>
      </c>
      <c r="I676" s="36" t="s">
        <v>706</v>
      </c>
      <c r="J676" s="36" t="s">
        <v>706</v>
      </c>
    </row>
    <row r="677" spans="1:11" ht="16" x14ac:dyDescent="0.2">
      <c r="A677" s="16">
        <v>384</v>
      </c>
      <c r="B677" s="34">
        <v>43796</v>
      </c>
      <c r="C677" s="105">
        <v>36</v>
      </c>
      <c r="D677" s="17" t="str">
        <f>IF(C677="","",VLOOKUP(C677,'Objekt Aufstellung'!$A$2:$B$51,2))</f>
        <v>Lintorfer Waldstraße 8</v>
      </c>
      <c r="E677" s="17" t="s">
        <v>523</v>
      </c>
      <c r="F677" s="17" t="s">
        <v>1421</v>
      </c>
      <c r="G677" s="18" t="s">
        <v>1422</v>
      </c>
      <c r="H677" s="17" t="s">
        <v>13</v>
      </c>
      <c r="I677" s="23" t="s">
        <v>14</v>
      </c>
      <c r="J677" s="21" t="s">
        <v>14</v>
      </c>
    </row>
    <row r="678" spans="1:11" ht="32" x14ac:dyDescent="0.2">
      <c r="A678" s="16">
        <v>385</v>
      </c>
      <c r="B678" s="34">
        <v>43796</v>
      </c>
      <c r="C678" s="105">
        <v>5</v>
      </c>
      <c r="D678" s="17" t="str">
        <f>IF(C678="","",VLOOKUP(C678,'Objekt Aufstellung'!$A$2:$B$51,2))</f>
        <v>Luisenstraße 3</v>
      </c>
      <c r="E678" s="17" t="s">
        <v>665</v>
      </c>
      <c r="F678" s="17" t="s">
        <v>723</v>
      </c>
      <c r="G678" s="18" t="s">
        <v>1423</v>
      </c>
      <c r="H678" s="17" t="s">
        <v>23</v>
      </c>
      <c r="I678" s="23" t="s">
        <v>14</v>
      </c>
      <c r="J678" s="17" t="s">
        <v>14</v>
      </c>
    </row>
    <row r="679" spans="1:11" ht="16" x14ac:dyDescent="0.2">
      <c r="A679" s="16">
        <v>386</v>
      </c>
      <c r="B679" s="34">
        <v>43796</v>
      </c>
      <c r="C679" s="105">
        <v>16</v>
      </c>
      <c r="D679" s="17" t="str">
        <f>IF(C679="","",VLOOKUP(C679,'Objekt Aufstellung'!$A$2:$B$51,2))</f>
        <v>Hoppengarten 17</v>
      </c>
      <c r="E679" s="17" t="s">
        <v>10</v>
      </c>
      <c r="F679" s="17" t="s">
        <v>17</v>
      </c>
      <c r="G679" s="18" t="s">
        <v>1424</v>
      </c>
      <c r="H679" s="17" t="s">
        <v>13</v>
      </c>
      <c r="I679" s="36" t="s">
        <v>706</v>
      </c>
      <c r="J679" s="36" t="s">
        <v>706</v>
      </c>
    </row>
    <row r="680" spans="1:11" ht="16" x14ac:dyDescent="0.2">
      <c r="A680" s="16">
        <v>387</v>
      </c>
      <c r="B680" s="34">
        <v>43797</v>
      </c>
      <c r="C680" s="105">
        <v>37</v>
      </c>
      <c r="D680" s="17" t="str">
        <f>IF(C680="","",VLOOKUP(C680,'Objekt Aufstellung'!$A$2:$B$51,2))</f>
        <v>Lintorfer Waldstraße 10</v>
      </c>
      <c r="E680" s="17" t="s">
        <v>351</v>
      </c>
      <c r="F680" s="17" t="s">
        <v>1425</v>
      </c>
      <c r="G680" s="18" t="s">
        <v>1426</v>
      </c>
      <c r="H680" s="17" t="s">
        <v>1266</v>
      </c>
      <c r="I680" s="23" t="s">
        <v>14</v>
      </c>
      <c r="J680" s="21" t="s">
        <v>14</v>
      </c>
    </row>
    <row r="681" spans="1:11" ht="32" x14ac:dyDescent="0.2">
      <c r="A681" s="16">
        <v>388</v>
      </c>
      <c r="B681" s="34">
        <v>43797</v>
      </c>
      <c r="C681" s="105">
        <v>28</v>
      </c>
      <c r="D681" s="17" t="str">
        <f>IF(C681="","",VLOOKUP(C681,'Objekt Aufstellung'!$A$2:$B$51,2))</f>
        <v>Koppelskamp 8</v>
      </c>
      <c r="E681" s="75" t="s">
        <v>1427</v>
      </c>
      <c r="F681" s="17" t="s">
        <v>1428</v>
      </c>
      <c r="G681" s="18" t="s">
        <v>1429</v>
      </c>
      <c r="H681" s="17" t="s">
        <v>13</v>
      </c>
      <c r="I681" s="23" t="s">
        <v>71</v>
      </c>
      <c r="J681" s="21" t="s">
        <v>71</v>
      </c>
    </row>
    <row r="682" spans="1:11" ht="16" x14ac:dyDescent="0.2">
      <c r="A682" s="16">
        <v>389</v>
      </c>
      <c r="B682" s="34">
        <v>43797</v>
      </c>
      <c r="C682" s="105">
        <v>11</v>
      </c>
      <c r="D682" s="17" t="s">
        <v>819</v>
      </c>
      <c r="E682" s="17" t="s">
        <v>665</v>
      </c>
      <c r="F682" s="17" t="s">
        <v>466</v>
      </c>
      <c r="G682" s="18" t="s">
        <v>1430</v>
      </c>
      <c r="H682" s="17" t="s">
        <v>13</v>
      </c>
      <c r="I682" s="36" t="s">
        <v>921</v>
      </c>
      <c r="J682" s="36" t="s">
        <v>921</v>
      </c>
      <c r="K682" s="41"/>
    </row>
    <row r="683" spans="1:11" ht="16" x14ac:dyDescent="0.2">
      <c r="A683" s="16">
        <v>390</v>
      </c>
      <c r="B683" s="34">
        <v>43797</v>
      </c>
      <c r="C683" s="105">
        <v>16</v>
      </c>
      <c r="D683" s="17" t="s">
        <v>137</v>
      </c>
      <c r="E683" s="17" t="s">
        <v>10</v>
      </c>
      <c r="F683" s="17" t="s">
        <v>17</v>
      </c>
      <c r="G683" s="18" t="s">
        <v>1431</v>
      </c>
      <c r="H683" s="17" t="s">
        <v>13</v>
      </c>
      <c r="I683" s="36" t="s">
        <v>706</v>
      </c>
      <c r="J683" s="36" t="s">
        <v>706</v>
      </c>
    </row>
    <row r="684" spans="1:11" ht="32" x14ac:dyDescent="0.2">
      <c r="A684" s="16">
        <v>391</v>
      </c>
      <c r="B684" s="34">
        <v>43797</v>
      </c>
      <c r="C684" s="105">
        <v>30</v>
      </c>
      <c r="D684" s="17" t="str">
        <f>IF(C684="","",VLOOKUP(C684,'Objekt Aufstellung'!$A$2:$B$51,2))</f>
        <v>Memelstraße 43</v>
      </c>
      <c r="E684" s="17" t="s">
        <v>622</v>
      </c>
      <c r="F684" s="17"/>
      <c r="G684" s="18" t="s">
        <v>1432</v>
      </c>
      <c r="H684" s="17" t="s">
        <v>58</v>
      </c>
      <c r="I684" s="23" t="s">
        <v>543</v>
      </c>
      <c r="J684" s="21" t="s">
        <v>543</v>
      </c>
    </row>
    <row r="685" spans="1:11" ht="16" x14ac:dyDescent="0.2">
      <c r="A685" s="16">
        <v>392</v>
      </c>
      <c r="B685" s="34">
        <v>43797</v>
      </c>
      <c r="C685" s="105">
        <v>45</v>
      </c>
      <c r="D685" s="17" t="str">
        <f>IF(C685="","",VLOOKUP(C685,'Objekt Aufstellung'!$A$2:$B$51,2))</f>
        <v>Neumühler Straße 39</v>
      </c>
      <c r="E685" s="17" t="s">
        <v>16</v>
      </c>
      <c r="F685" s="17" t="s">
        <v>1433</v>
      </c>
      <c r="G685" s="18" t="s">
        <v>1434</v>
      </c>
      <c r="H685" s="17" t="s">
        <v>13</v>
      </c>
      <c r="I685" s="36" t="s">
        <v>706</v>
      </c>
      <c r="J685" s="36" t="s">
        <v>706</v>
      </c>
    </row>
    <row r="686" spans="1:11" ht="32" x14ac:dyDescent="0.2">
      <c r="A686" s="16">
        <v>393</v>
      </c>
      <c r="B686" s="34">
        <v>43797</v>
      </c>
      <c r="C686" s="105">
        <v>45</v>
      </c>
      <c r="D686" s="17" t="str">
        <f>IF(C686="","",VLOOKUP(C686,'Objekt Aufstellung'!$A$2:$B$51,2))</f>
        <v>Neumühler Straße 39</v>
      </c>
      <c r="E686" s="17" t="s">
        <v>16</v>
      </c>
      <c r="F686" s="17" t="s">
        <v>1433</v>
      </c>
      <c r="G686" s="18" t="s">
        <v>1435</v>
      </c>
      <c r="H686" s="17" t="s">
        <v>13</v>
      </c>
      <c r="I686" s="23" t="s">
        <v>900</v>
      </c>
      <c r="J686" s="21"/>
    </row>
    <row r="687" spans="1:11" ht="16" x14ac:dyDescent="0.2">
      <c r="A687" s="16">
        <v>394</v>
      </c>
      <c r="B687" s="34">
        <v>43797</v>
      </c>
      <c r="C687" s="105">
        <v>28</v>
      </c>
      <c r="D687" s="17" t="str">
        <f>IF(C687="","",VLOOKUP(C687,'Objekt Aufstellung'!$A$2:$B$51,2))</f>
        <v>Koppelskamp 8</v>
      </c>
      <c r="E687" s="17" t="s">
        <v>1436</v>
      </c>
      <c r="F687" s="17"/>
      <c r="G687" s="18" t="s">
        <v>1437</v>
      </c>
      <c r="H687" s="17" t="s">
        <v>13</v>
      </c>
      <c r="I687" s="23" t="s">
        <v>14</v>
      </c>
      <c r="J687" s="21" t="s">
        <v>252</v>
      </c>
    </row>
    <row r="688" spans="1:11" ht="16" x14ac:dyDescent="0.2">
      <c r="A688" s="16">
        <v>395</v>
      </c>
      <c r="B688" s="34">
        <v>43776</v>
      </c>
      <c r="C688" s="105">
        <v>9</v>
      </c>
      <c r="D688" s="17" t="str">
        <f>IF(C688="","",VLOOKUP(C688,'Objekt Aufstellung'!$A$2:$B$51,2))</f>
        <v>Stockkampstraße 47</v>
      </c>
      <c r="E688" s="17" t="s">
        <v>467</v>
      </c>
      <c r="F688" s="17" t="s">
        <v>1438</v>
      </c>
      <c r="G688" s="18" t="s">
        <v>294</v>
      </c>
      <c r="H688" s="17" t="s">
        <v>13</v>
      </c>
      <c r="I688" s="23" t="s">
        <v>181</v>
      </c>
      <c r="J688" s="17" t="s">
        <v>181</v>
      </c>
    </row>
    <row r="689" spans="1:10" ht="16" x14ac:dyDescent="0.2">
      <c r="A689" s="16">
        <v>396</v>
      </c>
      <c r="B689" s="34">
        <v>43801</v>
      </c>
      <c r="C689" s="105">
        <v>15</v>
      </c>
      <c r="D689" s="17" t="str">
        <f>IF(C689="","",VLOOKUP(C689,'Objekt Aufstellung'!$A$2:$B$51,2))</f>
        <v>Hoppengarten 15</v>
      </c>
      <c r="E689" s="17" t="s">
        <v>78</v>
      </c>
      <c r="F689" s="17" t="s">
        <v>94</v>
      </c>
      <c r="G689" s="18" t="s">
        <v>1439</v>
      </c>
      <c r="H689" s="17" t="s">
        <v>13</v>
      </c>
      <c r="I689" s="23" t="s">
        <v>900</v>
      </c>
      <c r="J689" s="21"/>
    </row>
    <row r="690" spans="1:10" ht="16" x14ac:dyDescent="0.2">
      <c r="A690" s="16" t="s">
        <v>1440</v>
      </c>
      <c r="B690" s="34">
        <v>43801</v>
      </c>
      <c r="C690" s="105">
        <v>44</v>
      </c>
      <c r="D690" s="17" t="str">
        <f>IF(C690="","",VLOOKUP(C690,'Objekt Aufstellung'!$A$2:$B$51,2))</f>
        <v>Neumühler Straße 37</v>
      </c>
      <c r="E690" s="17" t="s">
        <v>10</v>
      </c>
      <c r="F690" s="17" t="s">
        <v>411</v>
      </c>
      <c r="G690" s="18" t="s">
        <v>1441</v>
      </c>
      <c r="H690" s="17" t="s">
        <v>13</v>
      </c>
      <c r="I690" s="36" t="s">
        <v>706</v>
      </c>
      <c r="J690" s="36" t="s">
        <v>706</v>
      </c>
    </row>
    <row r="691" spans="1:10" ht="16" x14ac:dyDescent="0.2">
      <c r="A691" s="16" t="s">
        <v>1442</v>
      </c>
      <c r="B691" s="34">
        <v>43801</v>
      </c>
      <c r="C691" s="105">
        <v>30</v>
      </c>
      <c r="D691" s="17" t="str">
        <f>IF(C691="","",VLOOKUP(C691,'Objekt Aufstellung'!$A$2:$B$51,2))</f>
        <v>Memelstraße 43</v>
      </c>
      <c r="E691" s="17" t="s">
        <v>665</v>
      </c>
      <c r="F691" s="17" t="s">
        <v>763</v>
      </c>
      <c r="G691" s="18" t="s">
        <v>1443</v>
      </c>
      <c r="H691" s="17" t="s">
        <v>13</v>
      </c>
      <c r="I691" s="23" t="s">
        <v>14</v>
      </c>
      <c r="J691" s="21" t="s">
        <v>14</v>
      </c>
    </row>
    <row r="692" spans="1:10" ht="16" x14ac:dyDescent="0.2">
      <c r="A692" s="16" t="s">
        <v>1444</v>
      </c>
      <c r="B692" s="34">
        <v>43802</v>
      </c>
      <c r="C692" s="105">
        <v>4</v>
      </c>
      <c r="D692" s="17" t="str">
        <f>IF(C692="","",VLOOKUP(C692,'Objekt Aufstellung'!$A$2:$B$51,2))</f>
        <v>Neanderstraße 15</v>
      </c>
      <c r="E692" s="17" t="s">
        <v>637</v>
      </c>
      <c r="F692" s="17" t="s">
        <v>444</v>
      </c>
      <c r="G692" s="18" t="s">
        <v>1445</v>
      </c>
      <c r="H692" s="17" t="s">
        <v>13</v>
      </c>
      <c r="I692" s="23" t="s">
        <v>181</v>
      </c>
      <c r="J692" s="21" t="s">
        <v>181</v>
      </c>
    </row>
    <row r="693" spans="1:10" ht="16" x14ac:dyDescent="0.2">
      <c r="A693" s="16" t="s">
        <v>1446</v>
      </c>
      <c r="B693" s="34">
        <v>43803</v>
      </c>
      <c r="C693" s="105">
        <v>38</v>
      </c>
      <c r="D693" s="17" t="str">
        <f>IF(C693="","",VLOOKUP(C693,'Objekt Aufstellung'!$A$2:$B$51,2))</f>
        <v>Koloniestraße 205</v>
      </c>
      <c r="E693" s="17" t="s">
        <v>1447</v>
      </c>
      <c r="F693" s="17" t="s">
        <v>1448</v>
      </c>
      <c r="G693" s="18" t="s">
        <v>1449</v>
      </c>
      <c r="H693" s="17" t="s">
        <v>1266</v>
      </c>
      <c r="I693" s="23" t="s">
        <v>14</v>
      </c>
      <c r="J693" s="21"/>
    </row>
    <row r="694" spans="1:10" ht="16" x14ac:dyDescent="0.2">
      <c r="A694" s="16" t="s">
        <v>1450</v>
      </c>
      <c r="B694" s="34">
        <v>43803</v>
      </c>
      <c r="C694" s="16">
        <v>32</v>
      </c>
      <c r="D694" s="17" t="str">
        <f>IF(C694="","",VLOOKUP(C694,'Objekt Aufstellung'!$A$2:$B$51,2))</f>
        <v>Koppelskamp 5</v>
      </c>
      <c r="E694" s="17" t="s">
        <v>40</v>
      </c>
      <c r="F694" s="17" t="s">
        <v>41</v>
      </c>
      <c r="G694" s="18" t="s">
        <v>1451</v>
      </c>
      <c r="H694" s="17" t="s">
        <v>13</v>
      </c>
      <c r="I694" s="106" t="s">
        <v>963</v>
      </c>
      <c r="J694" s="21" t="s">
        <v>963</v>
      </c>
    </row>
    <row r="695" spans="1:10" ht="16" x14ac:dyDescent="0.2">
      <c r="A695" s="16" t="s">
        <v>1452</v>
      </c>
      <c r="B695" s="34">
        <v>43804</v>
      </c>
      <c r="C695" s="16">
        <v>43</v>
      </c>
      <c r="D695" s="17" t="str">
        <f>IF(C695="","",VLOOKUP(C695,'Objekt Aufstellung'!$A$2:$B$51,2))</f>
        <v>Neumühler Straße 35</v>
      </c>
      <c r="E695" s="17" t="s">
        <v>1026</v>
      </c>
      <c r="F695" s="17" t="s">
        <v>1385</v>
      </c>
      <c r="G695" s="18" t="s">
        <v>1453</v>
      </c>
      <c r="H695" s="17" t="s">
        <v>23</v>
      </c>
      <c r="I695" s="23" t="s">
        <v>232</v>
      </c>
      <c r="J695" s="21" t="s">
        <v>232</v>
      </c>
    </row>
    <row r="696" spans="1:10" ht="16" x14ac:dyDescent="0.2">
      <c r="A696" s="16" t="s">
        <v>1454</v>
      </c>
      <c r="B696" s="34">
        <v>43804</v>
      </c>
      <c r="C696" s="16">
        <v>7</v>
      </c>
      <c r="D696" s="17" t="str">
        <f>IF(C696="","",VLOOKUP(C696,'Objekt Aufstellung'!$A$2:$B$51,2))</f>
        <v>Engerstraße 3</v>
      </c>
      <c r="E696" s="17" t="s">
        <v>138</v>
      </c>
      <c r="F696" s="17" t="s">
        <v>612</v>
      </c>
      <c r="G696" s="18" t="s">
        <v>1455</v>
      </c>
      <c r="H696" s="17" t="s">
        <v>13</v>
      </c>
      <c r="I696" s="23" t="s">
        <v>181</v>
      </c>
      <c r="J696" s="21" t="s">
        <v>181</v>
      </c>
    </row>
    <row r="697" spans="1:10" ht="16" x14ac:dyDescent="0.2">
      <c r="A697" s="16" t="s">
        <v>1456</v>
      </c>
      <c r="B697" s="34">
        <v>43805</v>
      </c>
      <c r="C697" s="16">
        <v>46</v>
      </c>
      <c r="D697" s="17" t="str">
        <f>IF(C697="","",VLOOKUP(C697,'Objekt Aufstellung'!$A$2:$B$51,2))</f>
        <v>Neumühler Straße 41</v>
      </c>
      <c r="E697" s="17" t="s">
        <v>10</v>
      </c>
      <c r="F697" s="17" t="s">
        <v>1121</v>
      </c>
      <c r="G697" s="18" t="s">
        <v>1457</v>
      </c>
      <c r="H697" s="17" t="s">
        <v>13</v>
      </c>
      <c r="I697" s="23" t="s">
        <v>30</v>
      </c>
      <c r="J697" s="21" t="s">
        <v>30</v>
      </c>
    </row>
    <row r="698" spans="1:10" ht="16" x14ac:dyDescent="0.2">
      <c r="A698" s="16" t="s">
        <v>1458</v>
      </c>
      <c r="B698" s="34">
        <v>43805</v>
      </c>
      <c r="C698" s="16">
        <v>45</v>
      </c>
      <c r="D698" s="17" t="str">
        <f>IF(C698="","",VLOOKUP(C698,'Objekt Aufstellung'!$A$2:$B$51,2))</f>
        <v>Neumühler Straße 39</v>
      </c>
      <c r="E698" s="17" t="s">
        <v>202</v>
      </c>
      <c r="F698" s="17" t="s">
        <v>992</v>
      </c>
      <c r="G698" s="18" t="s">
        <v>1459</v>
      </c>
      <c r="H698" s="17" t="s">
        <v>13</v>
      </c>
      <c r="I698" s="23" t="s">
        <v>900</v>
      </c>
      <c r="J698" s="17" t="s">
        <v>900</v>
      </c>
    </row>
    <row r="699" spans="1:10" ht="16" x14ac:dyDescent="0.2">
      <c r="A699" s="16" t="s">
        <v>1460</v>
      </c>
      <c r="B699" s="34">
        <v>43808</v>
      </c>
      <c r="C699" s="16">
        <v>13</v>
      </c>
      <c r="D699" s="17" t="str">
        <f>IF(C699="","",VLOOKUP(C699,'Objekt Aufstellung'!$A$2:$B$51,2))</f>
        <v>Borsigstraße 7</v>
      </c>
      <c r="E699" s="17" t="s">
        <v>43</v>
      </c>
      <c r="F699" s="17"/>
      <c r="G699" s="18" t="s">
        <v>1461</v>
      </c>
      <c r="H699" s="17" t="s">
        <v>13</v>
      </c>
      <c r="I699" s="36" t="s">
        <v>706</v>
      </c>
      <c r="J699" s="36" t="s">
        <v>706</v>
      </c>
    </row>
    <row r="700" spans="1:10" ht="16" x14ac:dyDescent="0.2">
      <c r="A700" s="16" t="s">
        <v>1462</v>
      </c>
      <c r="B700" s="34">
        <v>43809</v>
      </c>
      <c r="C700" s="16">
        <v>25</v>
      </c>
      <c r="D700" s="17" t="str">
        <f>IF(C700="","",VLOOKUP(C700,'Objekt Aufstellung'!$A$2:$B$51,2))</f>
        <v>Koppelskamp 10</v>
      </c>
      <c r="E700" s="17" t="s">
        <v>351</v>
      </c>
      <c r="F700" s="17"/>
      <c r="G700" s="18" t="s">
        <v>1463</v>
      </c>
      <c r="H700" s="17" t="s">
        <v>13</v>
      </c>
      <c r="I700" s="36" t="s">
        <v>706</v>
      </c>
      <c r="J700" s="21" t="s">
        <v>706</v>
      </c>
    </row>
    <row r="701" spans="1:10" ht="16" x14ac:dyDescent="0.2">
      <c r="A701" s="16" t="s">
        <v>1464</v>
      </c>
      <c r="B701" s="34">
        <v>43810</v>
      </c>
      <c r="C701" s="16">
        <v>5</v>
      </c>
      <c r="D701" s="17" t="str">
        <f>IF(C701="","",VLOOKUP(C701,'Objekt Aufstellung'!$A$2:$B$51,2))</f>
        <v>Luisenstraße 3</v>
      </c>
      <c r="E701" s="17" t="s">
        <v>1465</v>
      </c>
      <c r="F701" s="17" t="s">
        <v>1466</v>
      </c>
      <c r="G701" s="18" t="s">
        <v>1317</v>
      </c>
      <c r="H701" s="17" t="s">
        <v>23</v>
      </c>
      <c r="I701" s="23" t="s">
        <v>14</v>
      </c>
      <c r="J701" s="21" t="s">
        <v>14</v>
      </c>
    </row>
    <row r="702" spans="1:10" ht="16" x14ac:dyDescent="0.2">
      <c r="A702" s="16" t="s">
        <v>1467</v>
      </c>
      <c r="B702" s="34">
        <v>43810</v>
      </c>
      <c r="C702" s="16">
        <v>43</v>
      </c>
      <c r="D702" s="17" t="str">
        <f>IF(C702="","",VLOOKUP(C702,'Objekt Aufstellung'!$A$2:$B$51,2))</f>
        <v>Neumühler Straße 35</v>
      </c>
      <c r="E702" s="17" t="s">
        <v>693</v>
      </c>
      <c r="F702" s="17" t="s">
        <v>1468</v>
      </c>
      <c r="G702" s="18" t="s">
        <v>1469</v>
      </c>
      <c r="H702" s="17" t="s">
        <v>13</v>
      </c>
      <c r="I702" s="23" t="s">
        <v>30</v>
      </c>
      <c r="J702" s="21"/>
    </row>
    <row r="703" spans="1:10" ht="32" x14ac:dyDescent="0.2">
      <c r="A703" s="16" t="s">
        <v>1470</v>
      </c>
      <c r="B703" s="34">
        <v>43811</v>
      </c>
      <c r="C703" s="16">
        <v>48</v>
      </c>
      <c r="D703" s="17" t="str">
        <f>IF(C703="","",VLOOKUP(C703,'Objekt Aufstellung'!$A$2:$B$51,2))</f>
        <v>Mendelsohnstraße 3</v>
      </c>
      <c r="E703" s="17" t="s">
        <v>1471</v>
      </c>
      <c r="F703" s="17" t="s">
        <v>17</v>
      </c>
      <c r="G703" s="18" t="s">
        <v>1472</v>
      </c>
      <c r="H703" s="17" t="s">
        <v>13</v>
      </c>
      <c r="I703" s="23" t="s">
        <v>950</v>
      </c>
      <c r="J703" s="21" t="s">
        <v>950</v>
      </c>
    </row>
    <row r="704" spans="1:10" ht="16" x14ac:dyDescent="0.2">
      <c r="A704" s="16" t="s">
        <v>1473</v>
      </c>
      <c r="B704" s="34">
        <v>43811</v>
      </c>
      <c r="C704" s="16">
        <v>19</v>
      </c>
      <c r="D704" s="17" t="str">
        <f>IF(C704="","",VLOOKUP(C704,'Objekt Aufstellung'!$A$2:$B$51,2))</f>
        <v>Alte Bachstraße 25</v>
      </c>
      <c r="E704" s="17" t="s">
        <v>264</v>
      </c>
      <c r="F704" s="17"/>
      <c r="G704" s="18" t="s">
        <v>1474</v>
      </c>
      <c r="H704" s="17" t="s">
        <v>13</v>
      </c>
      <c r="I704" s="23" t="s">
        <v>200</v>
      </c>
      <c r="J704" s="23" t="s">
        <v>200</v>
      </c>
    </row>
    <row r="705" spans="1:10" ht="16" x14ac:dyDescent="0.2">
      <c r="A705" s="16" t="s">
        <v>1475</v>
      </c>
      <c r="B705" s="34">
        <v>43812</v>
      </c>
      <c r="C705" s="16">
        <v>1</v>
      </c>
      <c r="D705" s="17" t="str">
        <f>IF(C705="","",VLOOKUP(C705,'Objekt Aufstellung'!$A$2:$B$51,2))</f>
        <v>Roßstraße 9</v>
      </c>
      <c r="E705" s="17" t="s">
        <v>10</v>
      </c>
      <c r="F705" s="17" t="s">
        <v>1476</v>
      </c>
      <c r="G705" s="18" t="s">
        <v>1477</v>
      </c>
      <c r="H705" s="17" t="s">
        <v>58</v>
      </c>
      <c r="I705" s="23" t="s">
        <v>14</v>
      </c>
      <c r="J705" s="21" t="s">
        <v>14</v>
      </c>
    </row>
    <row r="706" spans="1:10" ht="16" x14ac:dyDescent="0.2">
      <c r="A706" s="16" t="s">
        <v>1478</v>
      </c>
      <c r="B706" s="34">
        <v>43812</v>
      </c>
      <c r="C706" s="16">
        <v>9</v>
      </c>
      <c r="D706" s="17" t="str">
        <f>IF(C706="","",VLOOKUP(C706,'Objekt Aufstellung'!$A$2:$B$51,2))</f>
        <v>Stockkampstraße 47</v>
      </c>
      <c r="E706" s="17" t="s">
        <v>740</v>
      </c>
      <c r="F706" s="17" t="s">
        <v>741</v>
      </c>
      <c r="G706" s="18" t="s">
        <v>1479</v>
      </c>
      <c r="H706" s="17" t="s">
        <v>13</v>
      </c>
      <c r="I706" s="23" t="s">
        <v>181</v>
      </c>
      <c r="J706" s="21" t="s">
        <v>181</v>
      </c>
    </row>
    <row r="707" spans="1:10" ht="16" x14ac:dyDescent="0.2">
      <c r="A707" s="16" t="s">
        <v>1480</v>
      </c>
      <c r="B707" s="34">
        <v>43815</v>
      </c>
      <c r="C707" s="16">
        <v>18</v>
      </c>
      <c r="D707" s="17" t="str">
        <f>IF(C707="","",VLOOKUP(C707,'Objekt Aufstellung'!$A$2:$B$51,2))</f>
        <v>Kölner Straße 217</v>
      </c>
      <c r="E707" s="17" t="s">
        <v>1481</v>
      </c>
      <c r="F707" s="17" t="s">
        <v>489</v>
      </c>
      <c r="G707" s="18" t="s">
        <v>294</v>
      </c>
      <c r="H707" s="17" t="s">
        <v>23</v>
      </c>
      <c r="I707" s="23" t="s">
        <v>181</v>
      </c>
      <c r="J707" s="21" t="s">
        <v>181</v>
      </c>
    </row>
    <row r="708" spans="1:10" ht="16" x14ac:dyDescent="0.2">
      <c r="A708" s="16" t="s">
        <v>1482</v>
      </c>
      <c r="B708" s="34">
        <v>43815</v>
      </c>
      <c r="C708" s="16">
        <v>46</v>
      </c>
      <c r="D708" s="17" t="str">
        <f>IF(C708="","",VLOOKUP(C708,'Objekt Aufstellung'!$A$2:$B$51,2))</f>
        <v>Neumühler Straße 41</v>
      </c>
      <c r="E708" s="17" t="s">
        <v>467</v>
      </c>
      <c r="F708" s="17" t="s">
        <v>1483</v>
      </c>
      <c r="G708" s="18" t="s">
        <v>1484</v>
      </c>
      <c r="H708" s="17" t="s">
        <v>23</v>
      </c>
      <c r="I708" s="36" t="s">
        <v>423</v>
      </c>
      <c r="J708" s="36" t="s">
        <v>423</v>
      </c>
    </row>
    <row r="709" spans="1:10" ht="16" x14ac:dyDescent="0.2">
      <c r="A709" s="16" t="s">
        <v>1485</v>
      </c>
      <c r="B709" s="34">
        <v>43816</v>
      </c>
      <c r="C709" s="16">
        <v>11</v>
      </c>
      <c r="D709" s="17" t="str">
        <f>IF(C709="","",VLOOKUP(C709,'Objekt Aufstellung'!$A$2:$B$51,2))</f>
        <v>Kölner Landstraße 261</v>
      </c>
      <c r="E709" s="17" t="s">
        <v>1486</v>
      </c>
      <c r="F709" s="17" t="s">
        <v>497</v>
      </c>
      <c r="G709" s="18" t="s">
        <v>1487</v>
      </c>
      <c r="H709" s="17" t="s">
        <v>58</v>
      </c>
      <c r="I709" s="23" t="s">
        <v>14</v>
      </c>
      <c r="J709" s="17" t="s">
        <v>14</v>
      </c>
    </row>
    <row r="710" spans="1:10" x14ac:dyDescent="0.2">
      <c r="A710" s="16" t="s">
        <v>1488</v>
      </c>
      <c r="B710" s="34"/>
      <c r="C710" s="16"/>
      <c r="D710" s="17" t="str">
        <f>IF(C710="","",VLOOKUP(C710,'Objekt Aufstellung'!$A$2:$B$51,2))</f>
        <v/>
      </c>
      <c r="E710" s="17"/>
      <c r="F710" s="17"/>
      <c r="G710" s="18"/>
      <c r="H710" s="17"/>
      <c r="I710" s="23"/>
      <c r="J710" s="17"/>
    </row>
    <row r="711" spans="1:10" ht="16" x14ac:dyDescent="0.2">
      <c r="A711" s="16" t="s">
        <v>1489</v>
      </c>
      <c r="B711" s="34">
        <v>43818</v>
      </c>
      <c r="C711" s="16">
        <v>25</v>
      </c>
      <c r="D711" s="17" t="str">
        <f>IF(C711="","",VLOOKUP(C711,'Objekt Aufstellung'!$A$2:$B$51,2))</f>
        <v>Koppelskamp 10</v>
      </c>
      <c r="E711" s="17" t="s">
        <v>1490</v>
      </c>
      <c r="F711" s="17"/>
      <c r="G711" s="18" t="s">
        <v>1491</v>
      </c>
      <c r="H711" s="17" t="s">
        <v>13</v>
      </c>
      <c r="I711" s="36" t="s">
        <v>706</v>
      </c>
      <c r="J711" s="36" t="s">
        <v>706</v>
      </c>
    </row>
    <row r="712" spans="1:10" ht="16" x14ac:dyDescent="0.2">
      <c r="A712" s="16" t="s">
        <v>1492</v>
      </c>
      <c r="B712" s="34">
        <v>43822</v>
      </c>
      <c r="C712" s="16">
        <v>25</v>
      </c>
      <c r="D712" s="17" t="str">
        <f>IF(C712="","",VLOOKUP(C712,'Objekt Aufstellung'!$A$2:$B$51,2))</f>
        <v>Koppelskamp 10</v>
      </c>
      <c r="E712" s="17" t="s">
        <v>358</v>
      </c>
      <c r="F712" s="17" t="s">
        <v>1493</v>
      </c>
      <c r="G712" s="18" t="s">
        <v>1494</v>
      </c>
      <c r="H712" s="17" t="s">
        <v>13</v>
      </c>
      <c r="I712" s="23" t="s">
        <v>914</v>
      </c>
      <c r="J712" s="21" t="s">
        <v>914</v>
      </c>
    </row>
    <row r="713" spans="1:10" ht="16" x14ac:dyDescent="0.2">
      <c r="A713" s="16" t="s">
        <v>1495</v>
      </c>
      <c r="B713" s="34">
        <v>43822</v>
      </c>
      <c r="C713" s="16">
        <v>25</v>
      </c>
      <c r="D713" s="17" t="str">
        <f>IF(C713="","",VLOOKUP(C713,'Objekt Aufstellung'!$A$2:$B$51,2))</f>
        <v>Koppelskamp 10</v>
      </c>
      <c r="E713" s="17" t="s">
        <v>358</v>
      </c>
      <c r="F713" s="17" t="s">
        <v>1214</v>
      </c>
      <c r="G713" s="18" t="s">
        <v>1496</v>
      </c>
      <c r="H713" s="17" t="s">
        <v>13</v>
      </c>
      <c r="I713" s="37" t="s">
        <v>1497</v>
      </c>
      <c r="J713" s="21" t="s">
        <v>900</v>
      </c>
    </row>
    <row r="714" spans="1:10" ht="16" x14ac:dyDescent="0.2">
      <c r="A714" s="16" t="s">
        <v>1498</v>
      </c>
      <c r="B714" s="34">
        <v>43822</v>
      </c>
      <c r="C714" s="16">
        <v>48</v>
      </c>
      <c r="D714" s="17" t="str">
        <f>IF(C714="","",VLOOKUP(C714,'Objekt Aufstellung'!$A$2:$B$51,2))</f>
        <v>Mendelsohnstraße 3</v>
      </c>
      <c r="E714" s="17" t="s">
        <v>1499</v>
      </c>
      <c r="F714" s="17" t="s">
        <v>17</v>
      </c>
      <c r="G714" s="18" t="s">
        <v>1500</v>
      </c>
      <c r="H714" s="17" t="s">
        <v>13</v>
      </c>
      <c r="I714" s="23" t="s">
        <v>914</v>
      </c>
      <c r="J714" s="21" t="s">
        <v>914</v>
      </c>
    </row>
    <row r="715" spans="1:10" ht="16" x14ac:dyDescent="0.2">
      <c r="A715" s="16" t="s">
        <v>1501</v>
      </c>
      <c r="B715" s="34">
        <v>43822</v>
      </c>
      <c r="C715" s="16">
        <v>48</v>
      </c>
      <c r="D715" s="17" t="str">
        <f>IF(C715="","",VLOOKUP(C715,'Objekt Aufstellung'!$A$2:$B$51,2))</f>
        <v>Mendelsohnstraße 3</v>
      </c>
      <c r="E715" s="17" t="s">
        <v>1502</v>
      </c>
      <c r="F715" s="17"/>
      <c r="G715" s="18" t="s">
        <v>1503</v>
      </c>
      <c r="H715" s="17" t="s">
        <v>13</v>
      </c>
      <c r="I715" s="23" t="s">
        <v>958</v>
      </c>
      <c r="J715" s="21" t="s">
        <v>958</v>
      </c>
    </row>
    <row r="716" spans="1:10" ht="16" x14ac:dyDescent="0.2">
      <c r="A716" s="16" t="s">
        <v>1504</v>
      </c>
      <c r="B716" s="34">
        <v>43767</v>
      </c>
      <c r="C716" s="16">
        <v>41</v>
      </c>
      <c r="D716" s="17" t="str">
        <f>IF(C716="","",VLOOKUP(C716,'Objekt Aufstellung'!$A$2:$B$51,2))</f>
        <v>Spichernstraße 27</v>
      </c>
      <c r="E716" s="17" t="s">
        <v>10</v>
      </c>
      <c r="F716" s="17" t="s">
        <v>17</v>
      </c>
      <c r="G716" s="18" t="s">
        <v>1505</v>
      </c>
      <c r="H716" s="17" t="s">
        <v>900</v>
      </c>
      <c r="I716" s="36" t="s">
        <v>423</v>
      </c>
      <c r="J716" s="36" t="s">
        <v>423</v>
      </c>
    </row>
    <row r="717" spans="1:10" ht="16" x14ac:dyDescent="0.2">
      <c r="A717" s="16" t="s">
        <v>1506</v>
      </c>
      <c r="B717" s="34">
        <v>43836</v>
      </c>
      <c r="C717" s="16">
        <v>16</v>
      </c>
      <c r="D717" s="17" t="str">
        <f>IF(C717="","",VLOOKUP(C717,'Objekt Aufstellung'!$A$2:$B$51,2))</f>
        <v>Hoppengarten 17</v>
      </c>
      <c r="E717" s="17" t="s">
        <v>637</v>
      </c>
      <c r="F717" s="17" t="s">
        <v>994</v>
      </c>
      <c r="G717" s="18" t="s">
        <v>1507</v>
      </c>
      <c r="H717" s="17" t="s">
        <v>13</v>
      </c>
      <c r="I717" s="36" t="s">
        <v>706</v>
      </c>
      <c r="J717" s="21" t="s">
        <v>706</v>
      </c>
    </row>
    <row r="718" spans="1:10" ht="16" x14ac:dyDescent="0.2">
      <c r="A718" s="16" t="s">
        <v>1508</v>
      </c>
      <c r="B718" s="34">
        <v>43836</v>
      </c>
      <c r="C718" s="16">
        <v>30</v>
      </c>
      <c r="D718" s="17" t="s">
        <v>762</v>
      </c>
      <c r="E718" s="17" t="s">
        <v>1509</v>
      </c>
      <c r="F718" s="17" t="s">
        <v>1510</v>
      </c>
      <c r="G718" s="18" t="s">
        <v>1511</v>
      </c>
      <c r="H718" s="17" t="s">
        <v>58</v>
      </c>
      <c r="I718" s="23" t="s">
        <v>14</v>
      </c>
      <c r="J718" s="21" t="s">
        <v>14</v>
      </c>
    </row>
    <row r="719" spans="1:10" ht="16" x14ac:dyDescent="0.2">
      <c r="A719" s="16" t="s">
        <v>1512</v>
      </c>
      <c r="B719" s="34">
        <v>43837</v>
      </c>
      <c r="C719" s="16">
        <v>24</v>
      </c>
      <c r="D719" s="17" t="str">
        <f>IF(C719="","",VLOOKUP(C719,'Objekt Aufstellung'!$A$2:$B$51,2))</f>
        <v>Angerbenden 31</v>
      </c>
      <c r="E719" s="17" t="s">
        <v>1513</v>
      </c>
      <c r="F719" s="17"/>
      <c r="G719" s="18" t="s">
        <v>1514</v>
      </c>
      <c r="H719" s="17" t="s">
        <v>13</v>
      </c>
      <c r="I719" s="23" t="s">
        <v>19</v>
      </c>
      <c r="J719" s="21" t="s">
        <v>19</v>
      </c>
    </row>
    <row r="720" spans="1:10" ht="16" x14ac:dyDescent="0.2">
      <c r="A720" s="16" t="s">
        <v>1515</v>
      </c>
      <c r="B720" s="34">
        <v>43839</v>
      </c>
      <c r="C720" s="16">
        <v>20</v>
      </c>
      <c r="D720" s="17" t="str">
        <f>IF(C720="","",VLOOKUP(C720,'Objekt Aufstellung'!$A$2:$B$51,2))</f>
        <v>Kranzstraße 103</v>
      </c>
      <c r="E720" s="17" t="s">
        <v>138</v>
      </c>
      <c r="F720" s="17" t="s">
        <v>102</v>
      </c>
      <c r="G720" s="18" t="s">
        <v>290</v>
      </c>
      <c r="H720" s="17" t="s">
        <v>13</v>
      </c>
      <c r="I720" s="23" t="s">
        <v>14</v>
      </c>
      <c r="J720" s="17" t="s">
        <v>14</v>
      </c>
    </row>
    <row r="721" spans="1:10" ht="16" x14ac:dyDescent="0.2">
      <c r="A721" s="16" t="s">
        <v>1516</v>
      </c>
      <c r="B721" s="34">
        <v>43839</v>
      </c>
      <c r="C721" s="16">
        <v>16</v>
      </c>
      <c r="D721" s="17" t="str">
        <f>IF(C721="","",VLOOKUP(C721,'Objekt Aufstellung'!$A$2:$B$51,2))</f>
        <v>Hoppengarten 17</v>
      </c>
      <c r="E721" s="17" t="s">
        <v>1517</v>
      </c>
      <c r="F721" s="17"/>
      <c r="G721" s="18" t="s">
        <v>1278</v>
      </c>
      <c r="H721" s="17" t="s">
        <v>13</v>
      </c>
      <c r="I721" s="36" t="s">
        <v>706</v>
      </c>
      <c r="J721" s="21" t="s">
        <v>706</v>
      </c>
    </row>
    <row r="722" spans="1:10" ht="16" x14ac:dyDescent="0.2">
      <c r="A722" s="16" t="s">
        <v>1518</v>
      </c>
      <c r="B722" s="34">
        <v>43840</v>
      </c>
      <c r="C722" s="16">
        <v>15</v>
      </c>
      <c r="D722" s="17" t="str">
        <f>IF(C722="","",VLOOKUP(C722,'Objekt Aufstellung'!$A$2:$B$51,2))</f>
        <v>Hoppengarten 15</v>
      </c>
      <c r="E722" s="17" t="s">
        <v>467</v>
      </c>
      <c r="F722" s="17" t="s">
        <v>505</v>
      </c>
      <c r="G722" s="18" t="s">
        <v>1519</v>
      </c>
      <c r="H722" s="17" t="s">
        <v>13</v>
      </c>
      <c r="I722" s="23" t="s">
        <v>329</v>
      </c>
      <c r="J722" s="17" t="s">
        <v>329</v>
      </c>
    </row>
    <row r="723" spans="1:10" ht="16" x14ac:dyDescent="0.2">
      <c r="A723" s="16" t="s">
        <v>1520</v>
      </c>
      <c r="B723" s="34">
        <v>43840</v>
      </c>
      <c r="C723" s="16">
        <v>24</v>
      </c>
      <c r="D723" s="17" t="str">
        <f>IF(C723="","",VLOOKUP(C723,'Objekt Aufstellung'!$A$2:$B$51,2))</f>
        <v>Angerbenden 31</v>
      </c>
      <c r="E723" s="17" t="s">
        <v>78</v>
      </c>
      <c r="F723" s="17"/>
      <c r="G723" s="18" t="s">
        <v>1521</v>
      </c>
      <c r="H723" s="17" t="s">
        <v>13</v>
      </c>
      <c r="I723" s="23" t="s">
        <v>900</v>
      </c>
      <c r="J723" s="17" t="s">
        <v>900</v>
      </c>
    </row>
    <row r="724" spans="1:10" ht="32" x14ac:dyDescent="0.2">
      <c r="A724" s="16" t="s">
        <v>1522</v>
      </c>
      <c r="B724" s="34">
        <v>43843</v>
      </c>
      <c r="C724" s="16">
        <v>5</v>
      </c>
      <c r="D724" s="17" t="str">
        <f>IF(C724="","",VLOOKUP(C724,'Objekt Aufstellung'!$A$2:$B$51,2))</f>
        <v>Luisenstraße 3</v>
      </c>
      <c r="E724" s="17" t="s">
        <v>1224</v>
      </c>
      <c r="F724" s="17" t="s">
        <v>602</v>
      </c>
      <c r="G724" s="18" t="s">
        <v>1523</v>
      </c>
      <c r="H724" s="17" t="s">
        <v>23</v>
      </c>
      <c r="I724" s="23" t="s">
        <v>181</v>
      </c>
      <c r="J724" s="17" t="s">
        <v>181</v>
      </c>
    </row>
    <row r="725" spans="1:10" ht="16" x14ac:dyDescent="0.2">
      <c r="A725" s="16" t="s">
        <v>1524</v>
      </c>
      <c r="B725" s="34">
        <v>43843</v>
      </c>
      <c r="C725" s="16">
        <v>16</v>
      </c>
      <c r="D725" s="17" t="str">
        <f>IF(C725="","",VLOOKUP(C725,'Objekt Aufstellung'!$A$2:$B$51,2))</f>
        <v>Hoppengarten 17</v>
      </c>
      <c r="E725" s="17" t="s">
        <v>43</v>
      </c>
      <c r="F725" s="17"/>
      <c r="G725" s="18" t="s">
        <v>1525</v>
      </c>
      <c r="H725" s="17" t="s">
        <v>13</v>
      </c>
      <c r="I725" s="36" t="s">
        <v>706</v>
      </c>
      <c r="J725" s="21" t="s">
        <v>706</v>
      </c>
    </row>
    <row r="726" spans="1:10" ht="16" x14ac:dyDescent="0.2">
      <c r="A726" s="16" t="s">
        <v>1526</v>
      </c>
      <c r="B726" s="34">
        <v>43844</v>
      </c>
      <c r="C726" s="16">
        <v>18</v>
      </c>
      <c r="D726" s="17" t="str">
        <f>IF(C726="","",VLOOKUP(C726,'Objekt Aufstellung'!$A$2:$B$51,2))</f>
        <v>Kölner Straße 217</v>
      </c>
      <c r="E726" s="17" t="s">
        <v>202</v>
      </c>
      <c r="F726" s="17" t="s">
        <v>460</v>
      </c>
      <c r="G726" s="18" t="s">
        <v>294</v>
      </c>
      <c r="H726" s="17" t="s">
        <v>23</v>
      </c>
      <c r="I726" s="23" t="s">
        <v>181</v>
      </c>
      <c r="J726" s="17" t="s">
        <v>181</v>
      </c>
    </row>
    <row r="727" spans="1:10" ht="32" x14ac:dyDescent="0.2">
      <c r="A727" s="16" t="s">
        <v>1527</v>
      </c>
      <c r="B727" s="34">
        <v>43844</v>
      </c>
      <c r="C727" s="16">
        <v>8</v>
      </c>
      <c r="D727" s="17" t="str">
        <f>IF(C727="","",VLOOKUP(C727,'Objekt Aufstellung'!$A$2:$B$51,2))</f>
        <v>Schützenstraße 20</v>
      </c>
      <c r="E727" s="17" t="s">
        <v>27</v>
      </c>
      <c r="F727" s="17" t="s">
        <v>1528</v>
      </c>
      <c r="G727" s="18" t="s">
        <v>1529</v>
      </c>
      <c r="H727" s="17" t="s">
        <v>463</v>
      </c>
      <c r="I727" s="23" t="s">
        <v>14</v>
      </c>
      <c r="J727" s="17" t="s">
        <v>14</v>
      </c>
    </row>
    <row r="728" spans="1:10" ht="16" x14ac:dyDescent="0.2">
      <c r="A728" s="16" t="s">
        <v>1530</v>
      </c>
      <c r="B728" s="34">
        <v>43838</v>
      </c>
      <c r="C728" s="16">
        <v>43</v>
      </c>
      <c r="D728" s="17" t="str">
        <f>IF(C728="","",VLOOKUP(C728,'Objekt Aufstellung'!$A$2:$B$51,2))</f>
        <v>Neumühler Straße 35</v>
      </c>
      <c r="E728" s="17" t="s">
        <v>202</v>
      </c>
      <c r="F728" s="17" t="s">
        <v>1385</v>
      </c>
      <c r="G728" s="18" t="s">
        <v>1531</v>
      </c>
      <c r="H728" s="17" t="s">
        <v>900</v>
      </c>
      <c r="I728" s="36" t="s">
        <v>423</v>
      </c>
      <c r="J728" s="36" t="s">
        <v>423</v>
      </c>
    </row>
    <row r="729" spans="1:10" ht="16" x14ac:dyDescent="0.2">
      <c r="A729" s="16" t="s">
        <v>1532</v>
      </c>
      <c r="B729" s="34">
        <v>43845</v>
      </c>
      <c r="C729" s="16">
        <v>19</v>
      </c>
      <c r="D729" s="17" t="str">
        <f>IF(C729="","",VLOOKUP(C729,'Objekt Aufstellung'!$A$2:$B$51,2))</f>
        <v>Alte Bachstraße 25</v>
      </c>
      <c r="E729" s="17" t="s">
        <v>1533</v>
      </c>
      <c r="F729" s="17" t="s">
        <v>1534</v>
      </c>
      <c r="G729" s="18" t="s">
        <v>1195</v>
      </c>
      <c r="H729" s="17" t="s">
        <v>13</v>
      </c>
      <c r="I729" s="23" t="s">
        <v>48</v>
      </c>
      <c r="J729" s="17" t="s">
        <v>1535</v>
      </c>
    </row>
    <row r="730" spans="1:10" ht="16" x14ac:dyDescent="0.2">
      <c r="A730" s="16" t="s">
        <v>1536</v>
      </c>
      <c r="B730" s="34">
        <v>43850</v>
      </c>
      <c r="C730" s="16">
        <v>41</v>
      </c>
      <c r="D730" s="17" t="str">
        <f>IF(C730="","",VLOOKUP(C730,'Objekt Aufstellung'!$A$2:$B$51,2))</f>
        <v>Spichernstraße 27</v>
      </c>
      <c r="E730" s="17" t="s">
        <v>10</v>
      </c>
      <c r="F730" s="17" t="s">
        <v>1537</v>
      </c>
      <c r="G730" s="18" t="s">
        <v>1538</v>
      </c>
      <c r="H730" s="17" t="s">
        <v>13</v>
      </c>
      <c r="I730" s="36" t="s">
        <v>423</v>
      </c>
      <c r="J730" s="36" t="s">
        <v>423</v>
      </c>
    </row>
    <row r="731" spans="1:10" ht="16" x14ac:dyDescent="0.2">
      <c r="A731" s="16" t="s">
        <v>1539</v>
      </c>
      <c r="B731" s="34">
        <v>43850</v>
      </c>
      <c r="C731" s="16">
        <v>16</v>
      </c>
      <c r="D731" s="17" t="str">
        <f>IF(C731="","",VLOOKUP(C731,'Objekt Aufstellung'!$A$2:$B$51,2))</f>
        <v>Hoppengarten 17</v>
      </c>
      <c r="E731" s="17" t="s">
        <v>637</v>
      </c>
      <c r="F731" s="17" t="s">
        <v>994</v>
      </c>
      <c r="G731" s="18" t="s">
        <v>1540</v>
      </c>
      <c r="H731" s="17" t="s">
        <v>13</v>
      </c>
      <c r="I731" s="23" t="s">
        <v>14</v>
      </c>
      <c r="J731" s="17" t="s">
        <v>14</v>
      </c>
    </row>
    <row r="732" spans="1:10" ht="16" x14ac:dyDescent="0.2">
      <c r="A732" s="16" t="s">
        <v>1541</v>
      </c>
      <c r="B732" s="34">
        <v>43851</v>
      </c>
      <c r="C732" s="16">
        <v>6</v>
      </c>
      <c r="D732" s="17" t="str">
        <f>IF(C732="","",VLOOKUP(C732,'Objekt Aufstellung'!$A$2:$B$51,2))</f>
        <v>Lindenstraße 267</v>
      </c>
      <c r="E732" s="17" t="s">
        <v>1542</v>
      </c>
      <c r="F732" s="17"/>
      <c r="G732" s="18" t="s">
        <v>1543</v>
      </c>
      <c r="H732" s="17" t="s">
        <v>13</v>
      </c>
      <c r="I732" s="23" t="s">
        <v>181</v>
      </c>
      <c r="J732" s="17" t="s">
        <v>181</v>
      </c>
    </row>
    <row r="733" spans="1:10" ht="16" x14ac:dyDescent="0.2">
      <c r="A733" s="16" t="s">
        <v>1544</v>
      </c>
      <c r="B733" s="34">
        <v>43851</v>
      </c>
      <c r="C733" s="16">
        <v>6</v>
      </c>
      <c r="D733" s="17" t="str">
        <f>IF(C733="","",VLOOKUP(C733,'Objekt Aufstellung'!$A$2:$B$51,2))</f>
        <v>Lindenstraße 267</v>
      </c>
      <c r="E733" s="17" t="s">
        <v>149</v>
      </c>
      <c r="F733" s="17" t="s">
        <v>1545</v>
      </c>
      <c r="G733" s="18" t="s">
        <v>1546</v>
      </c>
      <c r="H733" s="17" t="s">
        <v>13</v>
      </c>
      <c r="I733" s="23" t="s">
        <v>909</v>
      </c>
      <c r="J733" s="17" t="s">
        <v>909</v>
      </c>
    </row>
    <row r="734" spans="1:10" ht="16" x14ac:dyDescent="0.2">
      <c r="A734" s="16" t="s">
        <v>1547</v>
      </c>
      <c r="B734" s="34">
        <v>43852</v>
      </c>
      <c r="C734" s="16">
        <v>5</v>
      </c>
      <c r="D734" s="17" t="str">
        <f>IF(C734="","",VLOOKUP(C734,'Objekt Aufstellung'!$A$2:$B$51,2))</f>
        <v>Luisenstraße 3</v>
      </c>
      <c r="E734" s="17" t="s">
        <v>665</v>
      </c>
      <c r="F734" s="17" t="s">
        <v>3</v>
      </c>
      <c r="G734" s="18" t="s">
        <v>1548</v>
      </c>
      <c r="H734" s="17" t="s">
        <v>13</v>
      </c>
      <c r="I734" s="23" t="s">
        <v>19</v>
      </c>
      <c r="J734" s="17" t="s">
        <v>252</v>
      </c>
    </row>
    <row r="735" spans="1:10" ht="16" x14ac:dyDescent="0.2">
      <c r="A735" s="16" t="s">
        <v>1549</v>
      </c>
      <c r="B735" s="34">
        <v>43852</v>
      </c>
      <c r="C735" s="16">
        <v>41</v>
      </c>
      <c r="D735" s="17" t="str">
        <f>IF(C735="","",VLOOKUP(C735,'Objekt Aufstellung'!$A$2:$B$51,2))</f>
        <v>Spichernstraße 27</v>
      </c>
      <c r="E735" s="17" t="s">
        <v>235</v>
      </c>
      <c r="F735" s="17" t="s">
        <v>17</v>
      </c>
      <c r="G735" s="18" t="s">
        <v>61</v>
      </c>
      <c r="H735" s="17" t="s">
        <v>23</v>
      </c>
      <c r="I735" s="23" t="s">
        <v>14</v>
      </c>
      <c r="J735" s="17"/>
    </row>
    <row r="736" spans="1:10" ht="16" x14ac:dyDescent="0.2">
      <c r="A736" s="16" t="s">
        <v>1550</v>
      </c>
      <c r="B736" s="34">
        <v>43852</v>
      </c>
      <c r="C736" s="16">
        <v>11</v>
      </c>
      <c r="D736" s="17" t="str">
        <f>IF(C736="","",VLOOKUP(C736,'Objekt Aufstellung'!$A$2:$B$51,2))</f>
        <v>Kölner Landstraße 261</v>
      </c>
      <c r="E736" s="17" t="s">
        <v>756</v>
      </c>
      <c r="F736" s="17" t="s">
        <v>325</v>
      </c>
      <c r="G736" s="18" t="s">
        <v>1551</v>
      </c>
      <c r="H736" s="17" t="s">
        <v>23</v>
      </c>
      <c r="I736" s="23" t="s">
        <v>14</v>
      </c>
      <c r="J736" s="17" t="s">
        <v>14</v>
      </c>
    </row>
    <row r="737" spans="1:10" ht="16" x14ac:dyDescent="0.2">
      <c r="A737" s="16" t="s">
        <v>1552</v>
      </c>
      <c r="B737" s="34">
        <v>43852</v>
      </c>
      <c r="C737" s="16">
        <v>43</v>
      </c>
      <c r="D737" s="17" t="str">
        <f>IF(C737="","",VLOOKUP(C737,'Objekt Aufstellung'!$A$2:$B$51,2))</f>
        <v>Neumühler Straße 35</v>
      </c>
      <c r="E737" s="17" t="s">
        <v>146</v>
      </c>
      <c r="F737" s="17" t="s">
        <v>1553</v>
      </c>
      <c r="G737" s="18" t="s">
        <v>1554</v>
      </c>
      <c r="H737" s="17" t="s">
        <v>23</v>
      </c>
      <c r="I737" s="23" t="s">
        <v>900</v>
      </c>
      <c r="J737" s="17" t="s">
        <v>900</v>
      </c>
    </row>
    <row r="738" spans="1:10" ht="16" x14ac:dyDescent="0.2">
      <c r="A738" s="16" t="s">
        <v>1555</v>
      </c>
      <c r="B738" s="34">
        <v>43853</v>
      </c>
      <c r="C738" s="16">
        <v>1</v>
      </c>
      <c r="D738" s="17" t="str">
        <f>IF(C738="","",VLOOKUP(C738,'Objekt Aufstellung'!$A$2:$B$51,2))</f>
        <v>Roßstraße 9</v>
      </c>
      <c r="E738" s="17" t="s">
        <v>665</v>
      </c>
      <c r="F738" s="17" t="s">
        <v>1556</v>
      </c>
      <c r="G738" s="18" t="s">
        <v>61</v>
      </c>
      <c r="H738" s="17" t="s">
        <v>13</v>
      </c>
      <c r="I738" s="23" t="s">
        <v>272</v>
      </c>
      <c r="J738" s="21" t="s">
        <v>272</v>
      </c>
    </row>
    <row r="739" spans="1:10" ht="16" x14ac:dyDescent="0.2">
      <c r="A739" s="16" t="s">
        <v>1557</v>
      </c>
      <c r="B739" s="34">
        <v>43853</v>
      </c>
      <c r="C739" s="16">
        <v>25</v>
      </c>
      <c r="D739" s="17" t="str">
        <f>IF(C739="","",VLOOKUP(C739,'Objekt Aufstellung'!$A$2:$B$51,2))</f>
        <v>Koppelskamp 10</v>
      </c>
      <c r="E739" s="17" t="s">
        <v>1513</v>
      </c>
      <c r="F739" s="17"/>
      <c r="G739" s="18" t="s">
        <v>1558</v>
      </c>
      <c r="H739" s="17" t="s">
        <v>13</v>
      </c>
      <c r="I739" s="23" t="s">
        <v>19</v>
      </c>
      <c r="J739" s="21"/>
    </row>
    <row r="740" spans="1:10" ht="16" x14ac:dyDescent="0.2">
      <c r="A740" s="16" t="s">
        <v>1559</v>
      </c>
      <c r="B740" s="34">
        <v>43854</v>
      </c>
      <c r="C740" s="16">
        <v>27</v>
      </c>
      <c r="D740" s="17" t="str">
        <f>IF(C740="","",VLOOKUP(C740,'Objekt Aufstellung'!$A$2:$B$51,2))</f>
        <v>Koppelskamp 14</v>
      </c>
      <c r="E740" s="17" t="s">
        <v>467</v>
      </c>
      <c r="F740" s="17" t="s">
        <v>112</v>
      </c>
      <c r="G740" s="18" t="s">
        <v>1560</v>
      </c>
      <c r="H740" s="17" t="s">
        <v>13</v>
      </c>
      <c r="I740" s="23" t="s">
        <v>955</v>
      </c>
      <c r="J740" s="21" t="s">
        <v>252</v>
      </c>
    </row>
    <row r="741" spans="1:10" ht="16" x14ac:dyDescent="0.2">
      <c r="A741" s="16" t="s">
        <v>1561</v>
      </c>
      <c r="B741" s="34">
        <v>43854</v>
      </c>
      <c r="C741" s="16">
        <v>41</v>
      </c>
      <c r="D741" s="17" t="str">
        <f>IF(C741="","",VLOOKUP(C741,'Objekt Aufstellung'!$A$2:$B$51,2))</f>
        <v>Spichernstraße 27</v>
      </c>
      <c r="E741" s="17" t="s">
        <v>10</v>
      </c>
      <c r="F741" s="17" t="s">
        <v>1562</v>
      </c>
      <c r="G741" s="18" t="s">
        <v>1563</v>
      </c>
      <c r="H741" s="17" t="s">
        <v>13</v>
      </c>
      <c r="I741" s="23" t="s">
        <v>30</v>
      </c>
      <c r="J741" s="21" t="s">
        <v>30</v>
      </c>
    </row>
    <row r="742" spans="1:10" ht="64" x14ac:dyDescent="0.2">
      <c r="A742" s="16" t="s">
        <v>1564</v>
      </c>
      <c r="B742" s="34">
        <v>43889</v>
      </c>
      <c r="C742" s="16">
        <v>12</v>
      </c>
      <c r="D742" s="17" t="str">
        <f>IF(C742="","",VLOOKUP(C742,'Objekt Aufstellung'!$A$2:$B$51,2))</f>
        <v>Merowingerstr. 17</v>
      </c>
      <c r="E742" s="17" t="s">
        <v>299</v>
      </c>
      <c r="F742" s="17" t="s">
        <v>17</v>
      </c>
      <c r="G742" s="18" t="s">
        <v>1565</v>
      </c>
      <c r="H742" s="17" t="s">
        <v>463</v>
      </c>
      <c r="I742" s="23" t="s">
        <v>119</v>
      </c>
      <c r="J742" s="21" t="s">
        <v>119</v>
      </c>
    </row>
    <row r="743" spans="1:10" ht="16" x14ac:dyDescent="0.2">
      <c r="A743" s="16" t="s">
        <v>1566</v>
      </c>
      <c r="B743" s="34">
        <v>43854</v>
      </c>
      <c r="C743" s="16">
        <v>46</v>
      </c>
      <c r="D743" s="17" t="str">
        <f>IF(C743="","",VLOOKUP(C743,'Objekt Aufstellung'!$A$2:$B$51,2))</f>
        <v>Neumühler Straße 41</v>
      </c>
      <c r="E743" s="17" t="s">
        <v>352</v>
      </c>
      <c r="F743" s="17"/>
      <c r="G743" s="18" t="s">
        <v>1567</v>
      </c>
      <c r="H743" s="17" t="s">
        <v>13</v>
      </c>
      <c r="I743" s="23" t="s">
        <v>76</v>
      </c>
      <c r="J743" s="21" t="s">
        <v>76</v>
      </c>
    </row>
    <row r="744" spans="1:10" x14ac:dyDescent="0.2">
      <c r="A744" s="16" t="s">
        <v>1568</v>
      </c>
      <c r="B744" s="34">
        <v>43858</v>
      </c>
      <c r="C744" s="16">
        <v>24</v>
      </c>
      <c r="D744" s="17" t="str">
        <f>IF(C744="","",VLOOKUP(C744,'Objekt Aufstellung'!$A$2:$B$51,2))</f>
        <v>Angerbenden 31</v>
      </c>
      <c r="E744" s="17"/>
      <c r="F744" s="17"/>
      <c r="G744" s="18"/>
      <c r="H744" s="17"/>
      <c r="I744" s="23"/>
      <c r="J744" s="21"/>
    </row>
    <row r="745" spans="1:10" ht="16" x14ac:dyDescent="0.2">
      <c r="A745" s="16" t="s">
        <v>1569</v>
      </c>
      <c r="B745" s="34">
        <v>43858</v>
      </c>
      <c r="C745" s="16">
        <v>4</v>
      </c>
      <c r="D745" s="17" t="str">
        <f>IF(C745="","",VLOOKUP(C745,'Objekt Aufstellung'!$A$2:$B$51,2))</f>
        <v>Neanderstraße 15</v>
      </c>
      <c r="E745" s="17" t="s">
        <v>1570</v>
      </c>
      <c r="F745" s="17" t="s">
        <v>169</v>
      </c>
      <c r="G745" s="18" t="s">
        <v>1571</v>
      </c>
      <c r="H745" s="17" t="s">
        <v>58</v>
      </c>
      <c r="I745" s="23" t="s">
        <v>181</v>
      </c>
      <c r="J745" s="21" t="s">
        <v>181</v>
      </c>
    </row>
    <row r="746" spans="1:10" ht="32" x14ac:dyDescent="0.2">
      <c r="A746" s="16" t="s">
        <v>1572</v>
      </c>
      <c r="B746" s="34">
        <v>43858</v>
      </c>
      <c r="C746" s="16">
        <v>24</v>
      </c>
      <c r="D746" s="17" t="str">
        <f>IF(C746="","",VLOOKUP(C746,'Objekt Aufstellung'!$A$2:$B$51,2))</f>
        <v>Angerbenden 31</v>
      </c>
      <c r="E746" s="17" t="s">
        <v>43</v>
      </c>
      <c r="F746" s="17" t="s">
        <v>1573</v>
      </c>
      <c r="G746" s="18" t="s">
        <v>1574</v>
      </c>
      <c r="H746" s="17" t="s">
        <v>13</v>
      </c>
      <c r="I746" s="23" t="s">
        <v>706</v>
      </c>
      <c r="J746" s="23" t="s">
        <v>706</v>
      </c>
    </row>
    <row r="747" spans="1:10" ht="32" x14ac:dyDescent="0.2">
      <c r="A747" s="16" t="s">
        <v>1575</v>
      </c>
      <c r="B747" s="34">
        <v>43846</v>
      </c>
      <c r="C747" s="16">
        <v>15</v>
      </c>
      <c r="D747" s="17" t="str">
        <f>IF(C747="","",VLOOKUP(C747,'Objekt Aufstellung'!$A$2:$B$51,2))</f>
        <v>Hoppengarten 15</v>
      </c>
      <c r="E747" s="17" t="s">
        <v>467</v>
      </c>
      <c r="F747" s="17" t="s">
        <v>1576</v>
      </c>
      <c r="G747" s="18" t="s">
        <v>1577</v>
      </c>
      <c r="H747" s="17" t="s">
        <v>900</v>
      </c>
      <c r="I747" s="23" t="s">
        <v>181</v>
      </c>
      <c r="J747" s="21" t="s">
        <v>181</v>
      </c>
    </row>
    <row r="748" spans="1:10" ht="32" x14ac:dyDescent="0.2">
      <c r="A748" s="16" t="s">
        <v>1578</v>
      </c>
      <c r="B748" s="34">
        <v>43860</v>
      </c>
      <c r="C748" s="16">
        <v>8</v>
      </c>
      <c r="D748" s="17" t="str">
        <f>IF(C748="","",VLOOKUP(C748,'Objekt Aufstellung'!$A$2:$B$51,2))</f>
        <v>Schützenstraße 20</v>
      </c>
      <c r="E748" s="17" t="s">
        <v>78</v>
      </c>
      <c r="F748" s="17"/>
      <c r="G748" s="18" t="s">
        <v>1579</v>
      </c>
      <c r="H748" s="17" t="s">
        <v>58</v>
      </c>
      <c r="I748" s="23" t="s">
        <v>14</v>
      </c>
      <c r="J748" s="21"/>
    </row>
    <row r="749" spans="1:10" ht="16" x14ac:dyDescent="0.2">
      <c r="A749" s="16" t="s">
        <v>1580</v>
      </c>
      <c r="B749" s="34">
        <v>43860</v>
      </c>
      <c r="C749" s="16">
        <v>3</v>
      </c>
      <c r="D749" s="17" t="str">
        <f>IF(C749="","",VLOOKUP(C749,'Objekt Aufstellung'!$A$2:$B$51,2))</f>
        <v xml:space="preserve"> Schloßstraße 19</v>
      </c>
      <c r="E749" s="17" t="s">
        <v>235</v>
      </c>
      <c r="F749" s="17" t="s">
        <v>1291</v>
      </c>
      <c r="G749" s="18" t="s">
        <v>1581</v>
      </c>
      <c r="H749" s="17" t="s">
        <v>58</v>
      </c>
      <c r="I749" s="23" t="s">
        <v>14</v>
      </c>
      <c r="J749" s="21"/>
    </row>
    <row r="750" spans="1:10" ht="32" x14ac:dyDescent="0.2">
      <c r="A750" s="16" t="s">
        <v>1582</v>
      </c>
      <c r="B750" s="34">
        <v>43860</v>
      </c>
      <c r="C750" s="16">
        <v>37</v>
      </c>
      <c r="D750" s="17" t="str">
        <f>IF(C750="","",VLOOKUP(C750,'Objekt Aufstellung'!$A$2:$B$51,2))</f>
        <v>Lintorfer Waldstraße 10</v>
      </c>
      <c r="E750" s="17" t="s">
        <v>1583</v>
      </c>
      <c r="F750" s="17"/>
      <c r="G750" s="18" t="s">
        <v>1584</v>
      </c>
      <c r="H750" s="17" t="s">
        <v>13</v>
      </c>
      <c r="I750" s="23" t="s">
        <v>14</v>
      </c>
      <c r="J750" s="21" t="s">
        <v>14</v>
      </c>
    </row>
    <row r="751" spans="1:10" ht="16" x14ac:dyDescent="0.2">
      <c r="A751" s="16" t="s">
        <v>1585</v>
      </c>
      <c r="B751" s="34">
        <v>43861</v>
      </c>
      <c r="C751" s="16">
        <v>8</v>
      </c>
      <c r="D751" s="17" t="str">
        <f>IF(C751="","",VLOOKUP(C751,'Objekt Aufstellung'!$A$2:$B$51,2))</f>
        <v>Schützenstraße 20</v>
      </c>
      <c r="E751" s="17" t="s">
        <v>43</v>
      </c>
      <c r="F751" s="17"/>
      <c r="G751" s="18" t="s">
        <v>1586</v>
      </c>
      <c r="H751" s="17" t="s">
        <v>13</v>
      </c>
      <c r="I751" s="36" t="s">
        <v>706</v>
      </c>
      <c r="J751" s="36" t="s">
        <v>706</v>
      </c>
    </row>
    <row r="752" spans="1:10" ht="16" x14ac:dyDescent="0.2">
      <c r="A752" s="16" t="s">
        <v>1587</v>
      </c>
      <c r="B752" s="34">
        <v>43837</v>
      </c>
      <c r="C752" s="16">
        <v>36</v>
      </c>
      <c r="D752" s="17" t="str">
        <f>IF(C752="","",VLOOKUP(C752,'Objekt Aufstellung'!$A$2:$B$51,2))</f>
        <v>Lintorfer Waldstraße 8</v>
      </c>
      <c r="E752" s="17" t="s">
        <v>467</v>
      </c>
      <c r="F752" s="17"/>
      <c r="G752" s="18" t="s">
        <v>1588</v>
      </c>
      <c r="H752" s="17" t="s">
        <v>900</v>
      </c>
      <c r="I752" s="23" t="s">
        <v>181</v>
      </c>
      <c r="J752" s="21" t="s">
        <v>181</v>
      </c>
    </row>
    <row r="753" spans="1:10" ht="16" x14ac:dyDescent="0.2">
      <c r="A753" s="16" t="s">
        <v>1589</v>
      </c>
      <c r="B753" s="34">
        <v>43866</v>
      </c>
      <c r="C753" s="16">
        <v>28</v>
      </c>
      <c r="D753" s="17" t="str">
        <f>IF(C753="","",VLOOKUP(C753,'Objekt Aufstellung'!$A$2:$B$51,2))</f>
        <v>Koppelskamp 8</v>
      </c>
      <c r="E753" s="17" t="s">
        <v>281</v>
      </c>
      <c r="F753" s="17" t="s">
        <v>1396</v>
      </c>
      <c r="G753" s="18" t="s">
        <v>1590</v>
      </c>
      <c r="H753" s="17" t="s">
        <v>13</v>
      </c>
      <c r="I753" s="23" t="s">
        <v>14</v>
      </c>
      <c r="J753" s="21" t="s">
        <v>14</v>
      </c>
    </row>
    <row r="754" spans="1:10" ht="16" x14ac:dyDescent="0.2">
      <c r="A754" s="16" t="s">
        <v>1591</v>
      </c>
      <c r="B754" s="34">
        <v>43711</v>
      </c>
      <c r="C754" s="125">
        <v>43</v>
      </c>
      <c r="D754" s="17" t="str">
        <f>IF(C754=1,"Roßstr. 9",IF(C754=2,"Pfalzstr. 17",IF(C754=3,"Schlossstr. 19",IF(C754=4,"Neanderstr. 15",IF(C754=5,"Luisenstr. 3",IF(C754=6,"Lindenstr. 267",IF(C754=7,"Engerstr. 3",IF(C754=8,"Schützenstr. 20",IF(C754=9,"Stockkampstr. 47",IF(C754=10,"Driburgerstr. 8",IF(C754=11,"Kölnerstr. 261",IF(C754=12,"Merowingerstr. 17",IF(C754=13,"Borsigstr. 7",IF(C754=14,"Gerresheimer Landstr. 152",IF(C754=15,"Hoppengarten 15",IF(C754=16,"Hoppengarten 17",IF(C754=17,"Könerstr. 215",IF(C754=18,"Kölnerstr. 217",IF(C754=19,"Alte Bachstr. 25",IF(C754=20,"Kranzstr. 103",IF(C754=21,"Broicherdorfstr. 3",IF(C754=22,"Grafenberger Allee 235",IF(C754=23,"Börnestr. 2",IF(C754=24,"Angerbenden 31",IF(C754=25,"Koppelskamp 10",IF(C754=26,"Koppelskamp 12",IF(C754=27,"Koppelskamp 14",IF(C754=28,"Koppelskamp 8",IF(C754=29,"Bismarckstr. 109",IF(C754=30,"Memelstr. 43",IF(C754=31,"Angermunderstr. 30",IF(C754=32,"Koppelskamp 5",IF(C754=33,"Koppelskamp 5a",IF(C754=34,"Koppelskamp 7",IF(C754=35,"Lintorfer Waldstr. 6",IF(C754=36,"Lintorfer Waldstr. 8",IF(C754=37,"Lintorfer Waldstr. 10",IF(C754=38,"Koloniestr. 205",IF(C754=39,"Metzerstr. 28",IF(C754=40,"Metzerstr. 28a",IF(C754=41,"Spichernstr. 27",IF(C754=42,"Metzerstr. 17",IF(C754=43,"Neumühlerstr. 35",IF(C754=44,"Neumühlerstr. 37",IF(C754=45,"Neumühlerstr. 39",IF(C754=46,"Neumühlerstr. 41",IF(C754=47,"Mündelheimerstr. 3-5",IF(C754=48,"Mendelsohnstr. 3"))))))))))))))))))))))))))))))))))))))))))))))))</f>
        <v>Neumühlerstr. 35</v>
      </c>
      <c r="E754" s="17" t="s">
        <v>670</v>
      </c>
      <c r="F754" s="17" t="s">
        <v>17</v>
      </c>
      <c r="G754" s="18" t="s">
        <v>61</v>
      </c>
      <c r="H754" s="17" t="s">
        <v>463</v>
      </c>
      <c r="I754" s="17" t="s">
        <v>14</v>
      </c>
      <c r="J754" s="21" t="s">
        <v>14</v>
      </c>
    </row>
    <row r="755" spans="1:10" ht="16" x14ac:dyDescent="0.2">
      <c r="A755" s="16" t="s">
        <v>1592</v>
      </c>
      <c r="B755" s="34">
        <v>43754</v>
      </c>
      <c r="C755" s="125">
        <v>10</v>
      </c>
      <c r="D755" s="17" t="str">
        <f>IF(C755="","",VLOOKUP(C755,'Objekt Aufstellung'!$A$2:$B$51,2))</f>
        <v>Driburger Straße 8</v>
      </c>
      <c r="E755" s="17" t="s">
        <v>1593</v>
      </c>
      <c r="F755" s="17" t="s">
        <v>1594</v>
      </c>
      <c r="G755" s="18" t="s">
        <v>1595</v>
      </c>
      <c r="H755" s="17" t="s">
        <v>58</v>
      </c>
      <c r="I755" s="21" t="s">
        <v>312</v>
      </c>
      <c r="J755" s="21" t="s">
        <v>312</v>
      </c>
    </row>
    <row r="756" spans="1:10" ht="16" x14ac:dyDescent="0.2">
      <c r="A756" s="16" t="s">
        <v>1596</v>
      </c>
      <c r="B756" s="34">
        <v>43776</v>
      </c>
      <c r="C756" s="125">
        <v>19</v>
      </c>
      <c r="D756" s="17" t="str">
        <f>IF(C756="","",VLOOKUP(C756,'Objekt Aufstellung'!$A$2:$B$51,2))</f>
        <v>Alte Bachstraße 25</v>
      </c>
      <c r="E756" s="17" t="s">
        <v>1597</v>
      </c>
      <c r="F756" s="17" t="s">
        <v>673</v>
      </c>
      <c r="G756" s="18" t="s">
        <v>1598</v>
      </c>
      <c r="H756" s="17" t="s">
        <v>23</v>
      </c>
      <c r="I756" s="23" t="s">
        <v>14</v>
      </c>
      <c r="J756" s="17" t="s">
        <v>14</v>
      </c>
    </row>
    <row r="757" spans="1:10" ht="16" x14ac:dyDescent="0.2">
      <c r="A757" s="16" t="s">
        <v>1599</v>
      </c>
      <c r="B757" s="34">
        <v>43866</v>
      </c>
      <c r="C757" s="16">
        <v>16</v>
      </c>
      <c r="D757" s="17" t="str">
        <f>IF(C757="","",VLOOKUP(C757,'Objekt Aufstellung'!$A$2:$B$51,2))</f>
        <v>Hoppengarten 17</v>
      </c>
      <c r="E757" s="17" t="s">
        <v>10</v>
      </c>
      <c r="F757" s="17" t="s">
        <v>17</v>
      </c>
      <c r="G757" s="18" t="s">
        <v>1600</v>
      </c>
      <c r="H757" s="17" t="s">
        <v>13</v>
      </c>
      <c r="I757" s="23" t="s">
        <v>950</v>
      </c>
      <c r="J757" s="21" t="s">
        <v>950</v>
      </c>
    </row>
    <row r="758" spans="1:10" ht="16" x14ac:dyDescent="0.2">
      <c r="A758" s="16" t="s">
        <v>1601</v>
      </c>
      <c r="B758" s="34">
        <v>43866</v>
      </c>
      <c r="C758" s="16">
        <v>8</v>
      </c>
      <c r="D758" s="17" t="str">
        <f>IF(C758="","",VLOOKUP(C758,'Objekt Aufstellung'!$A$2:$B$51,2))</f>
        <v>Schützenstraße 20</v>
      </c>
      <c r="E758" s="17" t="s">
        <v>149</v>
      </c>
      <c r="F758" s="17" t="s">
        <v>17</v>
      </c>
      <c r="G758" s="18" t="s">
        <v>1602</v>
      </c>
      <c r="H758" s="17" t="s">
        <v>13</v>
      </c>
      <c r="I758" s="23" t="s">
        <v>19</v>
      </c>
      <c r="J758" s="21" t="s">
        <v>19</v>
      </c>
    </row>
    <row r="759" spans="1:10" ht="16" x14ac:dyDescent="0.2">
      <c r="A759" s="16" t="s">
        <v>1603</v>
      </c>
      <c r="B759" s="34">
        <v>43866</v>
      </c>
      <c r="C759" s="16">
        <v>8</v>
      </c>
      <c r="D759" s="17" t="str">
        <f>IF(C759="","",VLOOKUP(C759,'Objekt Aufstellung'!$A$2:$B$51,2))</f>
        <v>Schützenstraße 20</v>
      </c>
      <c r="E759" s="17" t="s">
        <v>149</v>
      </c>
      <c r="F759" s="17" t="s">
        <v>17</v>
      </c>
      <c r="G759" s="18" t="s">
        <v>1604</v>
      </c>
      <c r="H759" s="17" t="s">
        <v>13</v>
      </c>
      <c r="I759" s="23" t="s">
        <v>181</v>
      </c>
      <c r="J759" s="21" t="s">
        <v>181</v>
      </c>
    </row>
    <row r="760" spans="1:10" ht="16" x14ac:dyDescent="0.2">
      <c r="A760" s="16" t="s">
        <v>1605</v>
      </c>
      <c r="B760" s="34">
        <v>43866</v>
      </c>
      <c r="C760" s="16">
        <v>35</v>
      </c>
      <c r="D760" s="17" t="s">
        <v>831</v>
      </c>
      <c r="E760" s="17" t="s">
        <v>60</v>
      </c>
      <c r="F760" s="17" t="s">
        <v>1606</v>
      </c>
      <c r="G760" s="18" t="s">
        <v>1598</v>
      </c>
      <c r="H760" s="17" t="s">
        <v>479</v>
      </c>
      <c r="I760" s="23" t="s">
        <v>14</v>
      </c>
      <c r="J760" s="21" t="s">
        <v>14</v>
      </c>
    </row>
    <row r="761" spans="1:10" ht="16" x14ac:dyDescent="0.2">
      <c r="A761" s="16" t="s">
        <v>1607</v>
      </c>
      <c r="B761" s="34">
        <v>43866</v>
      </c>
      <c r="C761" s="16">
        <v>1</v>
      </c>
      <c r="D761" s="17" t="str">
        <f>IF(C761="","",VLOOKUP(C761,'Objekt Aufstellung'!$A$2:$B$51,2))</f>
        <v>Roßstraße 9</v>
      </c>
      <c r="E761" s="17" t="s">
        <v>712</v>
      </c>
      <c r="F761" s="17" t="s">
        <v>1608</v>
      </c>
      <c r="G761" s="18" t="s">
        <v>1609</v>
      </c>
      <c r="H761" s="17" t="s">
        <v>58</v>
      </c>
      <c r="I761" s="23" t="s">
        <v>14</v>
      </c>
      <c r="J761" s="21" t="s">
        <v>14</v>
      </c>
    </row>
    <row r="762" spans="1:10" ht="16" x14ac:dyDescent="0.2">
      <c r="A762" s="16" t="s">
        <v>1610</v>
      </c>
      <c r="B762" s="34">
        <v>43867</v>
      </c>
      <c r="C762" s="16">
        <v>9</v>
      </c>
      <c r="D762" s="17" t="str">
        <f>IF(C762="","",VLOOKUP(C762,'Objekt Aufstellung'!$A$2:$B$51,2))</f>
        <v>Stockkampstraße 47</v>
      </c>
      <c r="E762" s="17" t="s">
        <v>1481</v>
      </c>
      <c r="F762" s="17" t="s">
        <v>1611</v>
      </c>
      <c r="G762" s="18" t="s">
        <v>768</v>
      </c>
      <c r="H762" s="17" t="s">
        <v>13</v>
      </c>
      <c r="I762" s="23" t="s">
        <v>181</v>
      </c>
      <c r="J762" s="21" t="s">
        <v>181</v>
      </c>
    </row>
    <row r="763" spans="1:10" ht="16" x14ac:dyDescent="0.2">
      <c r="A763" s="16" t="s">
        <v>1612</v>
      </c>
      <c r="B763" s="34">
        <v>43867</v>
      </c>
      <c r="C763" s="16">
        <v>9</v>
      </c>
      <c r="D763" s="17" t="str">
        <f>IF(C763="","",VLOOKUP(C763,'Objekt Aufstellung'!$A$2:$B$51,2))</f>
        <v>Stockkampstraße 47</v>
      </c>
      <c r="E763" s="17" t="s">
        <v>32</v>
      </c>
      <c r="F763" s="17" t="s">
        <v>1613</v>
      </c>
      <c r="G763" s="18" t="s">
        <v>1614</v>
      </c>
      <c r="H763" s="17" t="s">
        <v>13</v>
      </c>
      <c r="I763" s="23" t="s">
        <v>119</v>
      </c>
      <c r="J763" s="21" t="s">
        <v>119</v>
      </c>
    </row>
    <row r="764" spans="1:10" ht="16" x14ac:dyDescent="0.2">
      <c r="A764" s="16" t="s">
        <v>1615</v>
      </c>
      <c r="B764" s="34">
        <v>43867</v>
      </c>
      <c r="C764" s="16">
        <v>25</v>
      </c>
      <c r="D764" s="17" t="str">
        <f>IF(C764="","",VLOOKUP(C764,'Objekt Aufstellung'!$A$2:$B$51,2))</f>
        <v>Koppelskamp 10</v>
      </c>
      <c r="E764" s="17" t="s">
        <v>264</v>
      </c>
      <c r="F764" s="17"/>
      <c r="G764" s="18" t="s">
        <v>1616</v>
      </c>
      <c r="H764" s="17" t="s">
        <v>13</v>
      </c>
      <c r="I764" s="23" t="s">
        <v>14</v>
      </c>
      <c r="J764" s="21" t="s">
        <v>14</v>
      </c>
    </row>
    <row r="765" spans="1:10" ht="16" x14ac:dyDescent="0.2">
      <c r="A765" s="16" t="s">
        <v>1617</v>
      </c>
      <c r="B765" s="34">
        <v>43845</v>
      </c>
      <c r="C765" s="16">
        <v>35</v>
      </c>
      <c r="D765" s="17" t="str">
        <f>IF(C765="","",VLOOKUP(C765,'Objekt Aufstellung'!$A$2:$B$51,2))</f>
        <v>Lintorfer Waldstraße 6</v>
      </c>
      <c r="E765" s="17" t="s">
        <v>352</v>
      </c>
      <c r="F765" s="17"/>
      <c r="G765" s="18" t="s">
        <v>1618</v>
      </c>
      <c r="H765" s="17" t="s">
        <v>58</v>
      </c>
      <c r="I765" s="23" t="s">
        <v>76</v>
      </c>
      <c r="J765" s="21" t="s">
        <v>76</v>
      </c>
    </row>
    <row r="766" spans="1:10" ht="16" x14ac:dyDescent="0.2">
      <c r="A766" s="16" t="s">
        <v>1619</v>
      </c>
      <c r="B766" s="34">
        <v>43865</v>
      </c>
      <c r="C766" s="16">
        <v>46</v>
      </c>
      <c r="D766" s="17" t="str">
        <f>IF(C766="","",VLOOKUP(C766,'Objekt Aufstellung'!$A$2:$B$51,2))</f>
        <v>Neumühler Straße 41</v>
      </c>
      <c r="E766" s="17" t="s">
        <v>352</v>
      </c>
      <c r="F766" s="17"/>
      <c r="G766" s="18" t="s">
        <v>1620</v>
      </c>
      <c r="H766" s="17" t="s">
        <v>900</v>
      </c>
      <c r="I766" s="23" t="s">
        <v>76</v>
      </c>
      <c r="J766" s="21" t="s">
        <v>76</v>
      </c>
    </row>
    <row r="767" spans="1:10" ht="16" x14ac:dyDescent="0.2">
      <c r="A767" s="16" t="s">
        <v>1621</v>
      </c>
      <c r="B767" s="34">
        <v>43871</v>
      </c>
      <c r="C767" s="16">
        <v>16</v>
      </c>
      <c r="D767" s="17" t="str">
        <f>IF(C767="","",VLOOKUP(C767,'Objekt Aufstellung'!$A$2:$B$51,2))</f>
        <v>Hoppengarten 17</v>
      </c>
      <c r="E767" s="17" t="s">
        <v>10</v>
      </c>
      <c r="F767" s="17" t="s">
        <v>17</v>
      </c>
      <c r="G767" s="18" t="s">
        <v>1622</v>
      </c>
      <c r="H767" s="17" t="s">
        <v>13</v>
      </c>
      <c r="I767" s="23" t="s">
        <v>329</v>
      </c>
      <c r="J767" s="21" t="s">
        <v>329</v>
      </c>
    </row>
    <row r="768" spans="1:10" ht="16" x14ac:dyDescent="0.2">
      <c r="A768" s="16" t="s">
        <v>1623</v>
      </c>
      <c r="B768" s="34">
        <v>43872</v>
      </c>
      <c r="C768" s="16">
        <v>41</v>
      </c>
      <c r="D768" s="17" t="str">
        <f>IF(C768="","",VLOOKUP(C768,'Objekt Aufstellung'!$A$2:$B$51,2))</f>
        <v>Spichernstraße 27</v>
      </c>
      <c r="E768" s="17" t="s">
        <v>264</v>
      </c>
      <c r="F768" s="17"/>
      <c r="G768" s="18" t="s">
        <v>1624</v>
      </c>
      <c r="H768" s="17" t="s">
        <v>13</v>
      </c>
      <c r="I768" s="23" t="s">
        <v>543</v>
      </c>
      <c r="J768" s="21" t="s">
        <v>543</v>
      </c>
    </row>
    <row r="769" spans="1:10" ht="16" x14ac:dyDescent="0.2">
      <c r="A769" s="16" t="s">
        <v>1625</v>
      </c>
      <c r="B769" s="34">
        <v>43873</v>
      </c>
      <c r="C769" s="16">
        <v>25</v>
      </c>
      <c r="D769" s="17" t="str">
        <f>IF(C769="","",VLOOKUP(C769,'Objekt Aufstellung'!$A$2:$B$51,2))</f>
        <v>Koppelskamp 10</v>
      </c>
      <c r="E769" s="17" t="s">
        <v>1626</v>
      </c>
      <c r="F769" s="17"/>
      <c r="G769" s="18" t="s">
        <v>1627</v>
      </c>
      <c r="H769" s="17" t="s">
        <v>13</v>
      </c>
      <c r="I769" s="23" t="s">
        <v>900</v>
      </c>
      <c r="J769" s="21" t="s">
        <v>900</v>
      </c>
    </row>
    <row r="770" spans="1:10" ht="16" x14ac:dyDescent="0.2">
      <c r="A770" s="16" t="s">
        <v>1628</v>
      </c>
      <c r="B770" s="34">
        <v>43893</v>
      </c>
      <c r="C770" s="16">
        <v>13</v>
      </c>
      <c r="D770" s="17" t="str">
        <f>IF(C770="","",VLOOKUP(C770,'Objekt Aufstellung'!$A$2:$B$51,2))</f>
        <v>Borsigstraße 7</v>
      </c>
      <c r="E770" s="17" t="s">
        <v>1026</v>
      </c>
      <c r="F770" s="17" t="s">
        <v>1629</v>
      </c>
      <c r="G770" s="18" t="s">
        <v>1630</v>
      </c>
      <c r="H770" s="17" t="s">
        <v>23</v>
      </c>
      <c r="I770" s="23" t="s">
        <v>48</v>
      </c>
      <c r="J770" s="21" t="s">
        <v>48</v>
      </c>
    </row>
    <row r="771" spans="1:10" ht="16" x14ac:dyDescent="0.2">
      <c r="A771" s="16" t="s">
        <v>1631</v>
      </c>
      <c r="B771" s="34">
        <v>43873</v>
      </c>
      <c r="C771" s="16">
        <v>1</v>
      </c>
      <c r="D771" s="17" t="str">
        <f>IF(C771="","",VLOOKUP(C771,'Objekt Aufstellung'!$A$2:$B$51,2))</f>
        <v>Roßstraße 9</v>
      </c>
      <c r="E771" s="17" t="s">
        <v>665</v>
      </c>
      <c r="F771" s="17" t="s">
        <v>1632</v>
      </c>
      <c r="G771" s="18" t="s">
        <v>1633</v>
      </c>
      <c r="H771" s="17" t="s">
        <v>13</v>
      </c>
      <c r="I771" s="23" t="s">
        <v>14</v>
      </c>
      <c r="J771" s="21" t="s">
        <v>14</v>
      </c>
    </row>
    <row r="772" spans="1:10" ht="16" x14ac:dyDescent="0.2">
      <c r="A772" s="16" t="s">
        <v>1634</v>
      </c>
      <c r="B772" s="34">
        <v>43873</v>
      </c>
      <c r="C772" s="16">
        <v>6</v>
      </c>
      <c r="D772" s="17" t="str">
        <f>IF(C772="","",VLOOKUP(C772,'Objekt Aufstellung'!$A$2:$B$51,2))</f>
        <v>Lindenstraße 267</v>
      </c>
      <c r="E772" s="17" t="s">
        <v>16</v>
      </c>
      <c r="F772" s="17" t="s">
        <v>1635</v>
      </c>
      <c r="G772" s="18" t="s">
        <v>1636</v>
      </c>
      <c r="H772" s="17" t="s">
        <v>1637</v>
      </c>
      <c r="I772" s="23" t="s">
        <v>48</v>
      </c>
      <c r="J772" s="21" t="s">
        <v>48</v>
      </c>
    </row>
    <row r="773" spans="1:10" ht="16" x14ac:dyDescent="0.2">
      <c r="A773" s="16" t="s">
        <v>1638</v>
      </c>
      <c r="B773" s="34">
        <v>43873</v>
      </c>
      <c r="C773" s="105">
        <v>46</v>
      </c>
      <c r="D773" s="17" t="str">
        <f>IF(C773="","",VLOOKUP(C773,'Objekt Aufstellung'!$A$2:$B$51,2))</f>
        <v>Neumühler Straße 41</v>
      </c>
      <c r="E773" s="17" t="s">
        <v>352</v>
      </c>
      <c r="F773" s="17"/>
      <c r="G773" s="18" t="s">
        <v>1639</v>
      </c>
      <c r="H773" s="17" t="s">
        <v>900</v>
      </c>
      <c r="I773" s="17" t="s">
        <v>76</v>
      </c>
      <c r="J773" s="21" t="s">
        <v>76</v>
      </c>
    </row>
    <row r="774" spans="1:10" ht="16" x14ac:dyDescent="0.2">
      <c r="A774" s="16" t="s">
        <v>1640</v>
      </c>
      <c r="B774" s="34">
        <v>43874</v>
      </c>
      <c r="C774" s="105">
        <v>18</v>
      </c>
      <c r="D774" s="17" t="str">
        <f>IF(C774="","",VLOOKUP(C774,'Objekt Aufstellung'!$A$2:$B$51,2))</f>
        <v>Kölner Straße 217</v>
      </c>
      <c r="E774" s="17" t="s">
        <v>1641</v>
      </c>
      <c r="F774" s="17" t="s">
        <v>1642</v>
      </c>
      <c r="G774" s="18" t="s">
        <v>1643</v>
      </c>
      <c r="H774" s="17" t="s">
        <v>13</v>
      </c>
      <c r="I774" s="21" t="s">
        <v>181</v>
      </c>
      <c r="J774" s="21" t="s">
        <v>181</v>
      </c>
    </row>
    <row r="775" spans="1:10" ht="16" x14ac:dyDescent="0.2">
      <c r="A775" s="16" t="s">
        <v>1644</v>
      </c>
      <c r="B775" s="34">
        <v>43874</v>
      </c>
      <c r="C775" s="105">
        <v>38</v>
      </c>
      <c r="D775" s="17" t="str">
        <f>IF(C775="","",VLOOKUP(C775,'Objekt Aufstellung'!$A$2:$B$51,2))</f>
        <v>Koloniestraße 205</v>
      </c>
      <c r="E775" s="17" t="s">
        <v>735</v>
      </c>
      <c r="F775" s="17" t="s">
        <v>541</v>
      </c>
      <c r="G775" s="18" t="s">
        <v>290</v>
      </c>
      <c r="H775" s="17" t="s">
        <v>58</v>
      </c>
      <c r="I775" s="23" t="s">
        <v>14</v>
      </c>
      <c r="J775" s="17" t="s">
        <v>14</v>
      </c>
    </row>
    <row r="776" spans="1:10" ht="16" x14ac:dyDescent="0.2">
      <c r="A776" s="16" t="s">
        <v>1645</v>
      </c>
      <c r="B776" s="34">
        <v>43874</v>
      </c>
      <c r="C776" s="16">
        <v>6</v>
      </c>
      <c r="D776" s="17" t="str">
        <f>IF(C776="","",VLOOKUP(C776,'Objekt Aufstellung'!$A$2:$B$51,2))</f>
        <v>Lindenstraße 267</v>
      </c>
      <c r="E776" s="17" t="s">
        <v>555</v>
      </c>
      <c r="F776" s="17"/>
      <c r="G776" s="18" t="s">
        <v>1646</v>
      </c>
      <c r="H776" s="17" t="s">
        <v>58</v>
      </c>
      <c r="I776" s="23" t="s">
        <v>14</v>
      </c>
      <c r="J776" s="21"/>
    </row>
    <row r="777" spans="1:10" ht="16" x14ac:dyDescent="0.2">
      <c r="A777" s="16" t="s">
        <v>1647</v>
      </c>
      <c r="B777" s="34">
        <v>43875</v>
      </c>
      <c r="C777" s="16">
        <v>8</v>
      </c>
      <c r="D777" s="17" t="str">
        <f>IF(C777="","",VLOOKUP(C777,'Objekt Aufstellung'!$A$2:$B$51,2))</f>
        <v>Schützenstraße 20</v>
      </c>
      <c r="E777" s="17" t="s">
        <v>149</v>
      </c>
      <c r="F777" s="17" t="s">
        <v>17</v>
      </c>
      <c r="G777" s="18" t="s">
        <v>1648</v>
      </c>
      <c r="H777" s="17" t="s">
        <v>13</v>
      </c>
      <c r="I777" s="23" t="s">
        <v>950</v>
      </c>
      <c r="J777" s="21" t="s">
        <v>950</v>
      </c>
    </row>
    <row r="778" spans="1:10" ht="16" x14ac:dyDescent="0.2">
      <c r="A778" s="16" t="s">
        <v>1649</v>
      </c>
      <c r="B778" s="34">
        <v>43875</v>
      </c>
      <c r="C778" s="16">
        <v>14</v>
      </c>
      <c r="D778" s="17" t="str">
        <f>IF(C778="","",VLOOKUP(C778,'Objekt Aufstellung'!$A$2:$B$51,2))</f>
        <v>Gerresheimer Landstraße 152</v>
      </c>
      <c r="E778" s="17"/>
      <c r="F778" s="17" t="s">
        <v>291</v>
      </c>
      <c r="G778" s="18" t="s">
        <v>1650</v>
      </c>
      <c r="H778" s="17" t="s">
        <v>58</v>
      </c>
      <c r="I778" s="23" t="s">
        <v>14</v>
      </c>
      <c r="J778" s="21"/>
    </row>
    <row r="779" spans="1:10" ht="16" x14ac:dyDescent="0.2">
      <c r="A779" s="16" t="s">
        <v>1651</v>
      </c>
      <c r="B779" s="34">
        <v>43878</v>
      </c>
      <c r="C779" s="16">
        <v>18</v>
      </c>
      <c r="D779" s="17" t="str">
        <f>IF(C779="","",VLOOKUP(C779,'Objekt Aufstellung'!$A$2:$B$51,2))</f>
        <v>Kölner Straße 217</v>
      </c>
      <c r="E779" s="17" t="s">
        <v>1652</v>
      </c>
      <c r="F779" s="17" t="s">
        <v>630</v>
      </c>
      <c r="G779" s="18" t="s">
        <v>1653</v>
      </c>
      <c r="H779" s="17" t="s">
        <v>23</v>
      </c>
      <c r="I779" s="23" t="s">
        <v>48</v>
      </c>
      <c r="J779" s="21" t="s">
        <v>48</v>
      </c>
    </row>
    <row r="780" spans="1:10" ht="16" x14ac:dyDescent="0.2">
      <c r="A780" s="16" t="s">
        <v>1654</v>
      </c>
      <c r="B780" s="34">
        <v>43879</v>
      </c>
      <c r="C780" s="16">
        <v>16</v>
      </c>
      <c r="D780" s="17" t="str">
        <f>IF(C780="","",VLOOKUP(C780,'Objekt Aufstellung'!$A$2:$B$51,2))</f>
        <v>Hoppengarten 17</v>
      </c>
      <c r="E780" s="17" t="s">
        <v>10</v>
      </c>
      <c r="F780" s="17" t="s">
        <v>17</v>
      </c>
      <c r="G780" s="18" t="s">
        <v>1655</v>
      </c>
      <c r="H780" s="17" t="s">
        <v>13</v>
      </c>
      <c r="I780" s="23" t="s">
        <v>71</v>
      </c>
      <c r="J780" s="21" t="s">
        <v>71</v>
      </c>
    </row>
    <row r="781" spans="1:10" ht="16" x14ac:dyDescent="0.2">
      <c r="A781" s="16" t="s">
        <v>1656</v>
      </c>
      <c r="B781" s="34">
        <v>43879</v>
      </c>
      <c r="C781" s="16">
        <v>46</v>
      </c>
      <c r="D781" s="17" t="str">
        <f>IF(C781="","",VLOOKUP(C781,'Objekt Aufstellung'!$A$2:$B$51,2))</f>
        <v>Neumühler Straße 41</v>
      </c>
      <c r="E781" s="17" t="s">
        <v>60</v>
      </c>
      <c r="F781" s="17" t="s">
        <v>1657</v>
      </c>
      <c r="G781" s="18" t="s">
        <v>1658</v>
      </c>
      <c r="H781" s="17" t="s">
        <v>23</v>
      </c>
      <c r="I781" s="23" t="s">
        <v>14</v>
      </c>
      <c r="J781" s="21" t="s">
        <v>14</v>
      </c>
    </row>
    <row r="782" spans="1:10" ht="16" x14ac:dyDescent="0.2">
      <c r="A782" s="16" t="s">
        <v>1659</v>
      </c>
      <c r="B782" s="34">
        <v>43880</v>
      </c>
      <c r="C782" s="16">
        <v>6</v>
      </c>
      <c r="D782" s="17" t="str">
        <f>IF(C782="","",VLOOKUP(C782,'Objekt Aufstellung'!$A$2:$B$51,2))</f>
        <v>Lindenstraße 267</v>
      </c>
      <c r="E782" s="17" t="s">
        <v>60</v>
      </c>
      <c r="F782" s="17" t="s">
        <v>1660</v>
      </c>
      <c r="G782" s="18" t="s">
        <v>1661</v>
      </c>
      <c r="H782" s="17" t="s">
        <v>23</v>
      </c>
      <c r="I782" s="23" t="s">
        <v>14</v>
      </c>
      <c r="J782" s="21" t="s">
        <v>14</v>
      </c>
    </row>
    <row r="783" spans="1:10" ht="64" x14ac:dyDescent="0.2">
      <c r="A783" s="16" t="s">
        <v>1662</v>
      </c>
      <c r="B783" s="34">
        <v>43880</v>
      </c>
      <c r="C783" s="16">
        <v>6</v>
      </c>
      <c r="D783" s="17" t="s">
        <v>283</v>
      </c>
      <c r="E783" s="17" t="s">
        <v>60</v>
      </c>
      <c r="F783" s="17" t="s">
        <v>1660</v>
      </c>
      <c r="G783" s="18" t="s">
        <v>1663</v>
      </c>
      <c r="H783" s="17" t="s">
        <v>23</v>
      </c>
      <c r="I783" s="36" t="s">
        <v>119</v>
      </c>
      <c r="J783" s="21" t="s">
        <v>119</v>
      </c>
    </row>
    <row r="784" spans="1:10" ht="16" x14ac:dyDescent="0.2">
      <c r="A784" s="16" t="s">
        <v>1664</v>
      </c>
      <c r="B784" s="34">
        <v>43881</v>
      </c>
      <c r="C784" s="16">
        <v>4</v>
      </c>
      <c r="D784" s="17" t="str">
        <f>IF(C784="","",VLOOKUP(C784,'Objekt Aufstellung'!$A$2:$B$51,2))</f>
        <v>Neanderstraße 15</v>
      </c>
      <c r="E784" s="17" t="s">
        <v>693</v>
      </c>
      <c r="F784" s="17" t="s">
        <v>1665</v>
      </c>
      <c r="G784" s="18" t="s">
        <v>1666</v>
      </c>
      <c r="H784" s="17" t="s">
        <v>13</v>
      </c>
      <c r="I784" s="23" t="s">
        <v>181</v>
      </c>
      <c r="J784" s="21" t="s">
        <v>181</v>
      </c>
    </row>
    <row r="785" spans="1:10" ht="16" x14ac:dyDescent="0.2">
      <c r="A785" s="16" t="s">
        <v>1667</v>
      </c>
      <c r="B785" s="34">
        <v>43886</v>
      </c>
      <c r="C785" s="16">
        <v>20</v>
      </c>
      <c r="D785" s="17" t="str">
        <f>IF(C785="","",VLOOKUP(C785,'Objekt Aufstellung'!$A$2:$B$51,2))</f>
        <v>Kranzstraße 103</v>
      </c>
      <c r="E785" s="17" t="s">
        <v>60</v>
      </c>
      <c r="F785" s="17" t="s">
        <v>1668</v>
      </c>
      <c r="G785" s="18" t="s">
        <v>1669</v>
      </c>
      <c r="H785" s="17" t="s">
        <v>23</v>
      </c>
      <c r="I785" s="23" t="s">
        <v>200</v>
      </c>
      <c r="J785" s="21"/>
    </row>
    <row r="786" spans="1:10" ht="16" x14ac:dyDescent="0.2">
      <c r="A786" s="16" t="s">
        <v>1670</v>
      </c>
      <c r="B786" s="34">
        <v>43886</v>
      </c>
      <c r="C786" s="16">
        <v>17</v>
      </c>
      <c r="D786" s="17" t="str">
        <f>IF(C786="","",VLOOKUP(C786,'Objekt Aufstellung'!$A$2:$B$51,2))</f>
        <v>Kölner Straße 215</v>
      </c>
      <c r="E786" s="17" t="s">
        <v>358</v>
      </c>
      <c r="F786" s="17" t="s">
        <v>17</v>
      </c>
      <c r="G786" s="18" t="s">
        <v>1671</v>
      </c>
      <c r="H786" s="17" t="s">
        <v>13</v>
      </c>
      <c r="I786" s="23" t="s">
        <v>14</v>
      </c>
      <c r="J786" s="21"/>
    </row>
    <row r="787" spans="1:10" ht="16" x14ac:dyDescent="0.2">
      <c r="A787" s="16" t="s">
        <v>1672</v>
      </c>
      <c r="B787" s="34">
        <v>43879</v>
      </c>
      <c r="C787" s="16">
        <v>16</v>
      </c>
      <c r="D787" s="17" t="str">
        <f>IF(C787="","",VLOOKUP(C787,'Objekt Aufstellung'!$A$2:$B$51,2))</f>
        <v>Hoppengarten 17</v>
      </c>
      <c r="E787" s="17" t="s">
        <v>10</v>
      </c>
      <c r="F787" s="17" t="s">
        <v>17</v>
      </c>
      <c r="G787" s="18" t="s">
        <v>1673</v>
      </c>
      <c r="H787" s="17" t="s">
        <v>13</v>
      </c>
      <c r="I787" s="23" t="s">
        <v>181</v>
      </c>
      <c r="J787" s="21" t="s">
        <v>181</v>
      </c>
    </row>
    <row r="788" spans="1:10" ht="16" x14ac:dyDescent="0.2">
      <c r="A788" s="16" t="s">
        <v>1674</v>
      </c>
      <c r="B788" s="34">
        <v>43879</v>
      </c>
      <c r="C788" s="16">
        <v>25</v>
      </c>
      <c r="D788" s="17" t="str">
        <f>IF(C788="","",VLOOKUP(C788,'Objekt Aufstellung'!$A$2:$B$51,2))</f>
        <v>Koppelskamp 10</v>
      </c>
      <c r="E788" s="17" t="s">
        <v>281</v>
      </c>
      <c r="F788" s="17"/>
      <c r="G788" s="18" t="s">
        <v>1675</v>
      </c>
      <c r="H788" s="17" t="s">
        <v>13</v>
      </c>
      <c r="I788" s="23" t="s">
        <v>181</v>
      </c>
      <c r="J788" s="21" t="s">
        <v>181</v>
      </c>
    </row>
    <row r="789" spans="1:10" ht="32" x14ac:dyDescent="0.2">
      <c r="A789" s="16" t="s">
        <v>1676</v>
      </c>
      <c r="B789" s="34">
        <v>43886</v>
      </c>
      <c r="C789" s="16">
        <v>26</v>
      </c>
      <c r="D789" s="17" t="str">
        <f>IF(C789="","",VLOOKUP(C789,'Objekt Aufstellung'!$A$2:$B$51,2))</f>
        <v>Koppelskamp 12</v>
      </c>
      <c r="E789" s="17" t="s">
        <v>10</v>
      </c>
      <c r="F789" s="17" t="s">
        <v>1677</v>
      </c>
      <c r="G789" s="18" t="s">
        <v>1678</v>
      </c>
      <c r="H789" s="17" t="s">
        <v>13</v>
      </c>
      <c r="I789" s="23" t="s">
        <v>181</v>
      </c>
      <c r="J789" s="21" t="s">
        <v>181</v>
      </c>
    </row>
    <row r="790" spans="1:10" ht="16" x14ac:dyDescent="0.2">
      <c r="A790" s="16" t="s">
        <v>1679</v>
      </c>
      <c r="B790" s="34">
        <v>43887</v>
      </c>
      <c r="C790" s="16">
        <v>8</v>
      </c>
      <c r="D790" s="17" t="str">
        <f>IF(C790="","",VLOOKUP(C790,'Objekt Aufstellung'!$A$2:$B$51,2))</f>
        <v>Schützenstraße 20</v>
      </c>
      <c r="E790" s="17" t="s">
        <v>149</v>
      </c>
      <c r="F790" s="17" t="s">
        <v>17</v>
      </c>
      <c r="G790" s="18" t="s">
        <v>1405</v>
      </c>
      <c r="H790" s="17" t="s">
        <v>13</v>
      </c>
      <c r="I790" s="23" t="s">
        <v>71</v>
      </c>
      <c r="J790" s="21" t="s">
        <v>71</v>
      </c>
    </row>
    <row r="791" spans="1:10" ht="16" x14ac:dyDescent="0.2">
      <c r="A791" s="16" t="s">
        <v>1680</v>
      </c>
      <c r="B791" s="34">
        <v>43889</v>
      </c>
      <c r="C791" s="16">
        <v>42</v>
      </c>
      <c r="D791" s="17" t="str">
        <f>IF(C791="","",VLOOKUP(C791,'Objekt Aufstellung'!$A$2:$B$51,2))</f>
        <v>Metzer Straße 17</v>
      </c>
      <c r="E791" s="17" t="s">
        <v>1306</v>
      </c>
      <c r="F791" s="17" t="s">
        <v>1681</v>
      </c>
      <c r="G791" s="18" t="s">
        <v>1682</v>
      </c>
      <c r="H791" s="17" t="s">
        <v>13</v>
      </c>
      <c r="I791" s="23" t="s">
        <v>543</v>
      </c>
      <c r="J791" s="21" t="s">
        <v>543</v>
      </c>
    </row>
    <row r="792" spans="1:10" ht="16" x14ac:dyDescent="0.2">
      <c r="A792" s="16" t="s">
        <v>1683</v>
      </c>
      <c r="B792" s="34">
        <v>43889</v>
      </c>
      <c r="C792" s="16">
        <v>18</v>
      </c>
      <c r="D792" s="17" t="str">
        <f>IF(C792="","",VLOOKUP(C792,'Objekt Aufstellung'!$A$2:$B$51,2))</f>
        <v>Kölner Straße 217</v>
      </c>
      <c r="E792" s="17" t="s">
        <v>208</v>
      </c>
      <c r="F792" s="17" t="s">
        <v>209</v>
      </c>
      <c r="G792" s="18" t="s">
        <v>1684</v>
      </c>
      <c r="H792" s="17" t="s">
        <v>23</v>
      </c>
      <c r="I792" s="23" t="s">
        <v>14</v>
      </c>
      <c r="J792" s="21"/>
    </row>
    <row r="793" spans="1:10" ht="32" x14ac:dyDescent="0.2">
      <c r="A793" s="16" t="s">
        <v>1685</v>
      </c>
      <c r="B793" s="34">
        <v>43892</v>
      </c>
      <c r="C793" s="16">
        <v>32</v>
      </c>
      <c r="D793" s="17" t="str">
        <f>IF(C793="","",VLOOKUP(C793,'Objekt Aufstellung'!$A$2:$B$51,2))</f>
        <v>Koppelskamp 5</v>
      </c>
      <c r="E793" s="17" t="s">
        <v>40</v>
      </c>
      <c r="F793" s="17" t="s">
        <v>41</v>
      </c>
      <c r="G793" s="18" t="s">
        <v>1686</v>
      </c>
      <c r="H793" s="17" t="s">
        <v>13</v>
      </c>
      <c r="I793" s="36" t="s">
        <v>71</v>
      </c>
      <c r="J793" s="36" t="s">
        <v>71</v>
      </c>
    </row>
    <row r="794" spans="1:10" ht="16" x14ac:dyDescent="0.2">
      <c r="A794" s="16" t="s">
        <v>1687</v>
      </c>
      <c r="B794" s="34">
        <v>43895</v>
      </c>
      <c r="C794" s="16">
        <v>41</v>
      </c>
      <c r="D794" s="17" t="str">
        <f>IF(C794="","",VLOOKUP(C794,'Objekt Aufstellung'!$A$2:$B$51,2))</f>
        <v>Spichernstraße 27</v>
      </c>
      <c r="E794" s="17" t="s">
        <v>10</v>
      </c>
      <c r="F794" s="17" t="s">
        <v>1688</v>
      </c>
      <c r="G794" s="18" t="s">
        <v>1689</v>
      </c>
      <c r="H794" s="17" t="s">
        <v>13</v>
      </c>
      <c r="I794" s="23" t="s">
        <v>19</v>
      </c>
      <c r="J794" s="21"/>
    </row>
    <row r="795" spans="1:10" ht="16" x14ac:dyDescent="0.2">
      <c r="A795" s="16" t="s">
        <v>1690</v>
      </c>
      <c r="B795" s="34">
        <v>43893</v>
      </c>
      <c r="C795" s="16">
        <v>21</v>
      </c>
      <c r="D795" s="17" t="str">
        <f>IF(C795="","",VLOOKUP(C795,'Objekt Aufstellung'!$A$2:$B$51,2))</f>
        <v>Broicherdorfstraße 3</v>
      </c>
      <c r="E795" s="17" t="s">
        <v>467</v>
      </c>
      <c r="F795" s="17" t="s">
        <v>1691</v>
      </c>
      <c r="G795" s="18" t="s">
        <v>1692</v>
      </c>
      <c r="H795" s="17" t="s">
        <v>13</v>
      </c>
      <c r="I795" s="23" t="s">
        <v>19</v>
      </c>
      <c r="J795" s="21" t="s">
        <v>19</v>
      </c>
    </row>
    <row r="796" spans="1:10" ht="16" x14ac:dyDescent="0.2">
      <c r="A796" s="16" t="s">
        <v>1693</v>
      </c>
      <c r="B796" s="34">
        <v>43893</v>
      </c>
      <c r="C796" s="16">
        <v>32</v>
      </c>
      <c r="D796" s="17" t="str">
        <f>IF(C796="","",VLOOKUP(C796,'Objekt Aufstellung'!$A$2:$B$51,2))</f>
        <v>Koppelskamp 5</v>
      </c>
      <c r="E796" s="17" t="s">
        <v>467</v>
      </c>
      <c r="F796" s="17" t="s">
        <v>248</v>
      </c>
      <c r="G796" s="18" t="s">
        <v>1694</v>
      </c>
      <c r="H796" s="17" t="s">
        <v>13</v>
      </c>
      <c r="I796" s="23" t="s">
        <v>14</v>
      </c>
      <c r="J796" s="21" t="s">
        <v>14</v>
      </c>
    </row>
    <row r="797" spans="1:10" ht="16" x14ac:dyDescent="0.2">
      <c r="A797" s="16" t="s">
        <v>1695</v>
      </c>
      <c r="B797" s="34">
        <v>43894</v>
      </c>
      <c r="C797" s="16">
        <v>19</v>
      </c>
      <c r="D797" s="17" t="str">
        <f>IF(C797="","",VLOOKUP(C797,'Objekt Aufstellung'!$A$2:$B$51,2))</f>
        <v>Alte Bachstraße 25</v>
      </c>
      <c r="E797" s="17" t="s">
        <v>1597</v>
      </c>
      <c r="F797" s="17" t="s">
        <v>673</v>
      </c>
      <c r="G797" s="18" t="s">
        <v>1696</v>
      </c>
      <c r="H797" s="17" t="s">
        <v>23</v>
      </c>
      <c r="I797" s="23" t="s">
        <v>200</v>
      </c>
      <c r="J797" s="23" t="s">
        <v>200</v>
      </c>
    </row>
    <row r="798" spans="1:10" ht="16" x14ac:dyDescent="0.2">
      <c r="A798" s="16" t="s">
        <v>1697</v>
      </c>
      <c r="B798" s="34">
        <v>43896</v>
      </c>
      <c r="C798" s="16">
        <v>18</v>
      </c>
      <c r="D798" s="17" t="str">
        <f>IF(C798="","",VLOOKUP(C798,'Objekt Aufstellung'!$A$2:$B$51,2))</f>
        <v>Kölner Straße 217</v>
      </c>
      <c r="E798" s="17" t="s">
        <v>740</v>
      </c>
      <c r="F798" s="17" t="s">
        <v>1698</v>
      </c>
      <c r="G798" s="18" t="s">
        <v>389</v>
      </c>
      <c r="H798" s="17" t="s">
        <v>13</v>
      </c>
      <c r="I798" s="23" t="s">
        <v>181</v>
      </c>
      <c r="J798" s="21" t="s">
        <v>181</v>
      </c>
    </row>
    <row r="799" spans="1:10" ht="16" x14ac:dyDescent="0.2">
      <c r="A799" s="16" t="s">
        <v>1699</v>
      </c>
      <c r="B799" s="34">
        <v>43899</v>
      </c>
      <c r="C799" s="16">
        <v>45</v>
      </c>
      <c r="D799" s="17" t="str">
        <f>IF(C799="","",VLOOKUP(C799,'Objekt Aufstellung'!$A$2:$B$51,2))</f>
        <v>Neumühler Straße 39</v>
      </c>
      <c r="E799" s="17" t="s">
        <v>467</v>
      </c>
      <c r="F799" s="17" t="s">
        <v>1700</v>
      </c>
      <c r="G799" s="18" t="s">
        <v>1701</v>
      </c>
      <c r="H799" s="17" t="s">
        <v>13</v>
      </c>
      <c r="I799" s="23" t="s">
        <v>30</v>
      </c>
      <c r="J799" s="21" t="s">
        <v>30</v>
      </c>
    </row>
    <row r="800" spans="1:10" ht="16" x14ac:dyDescent="0.2">
      <c r="A800" s="16" t="s">
        <v>1702</v>
      </c>
      <c r="B800" s="34">
        <v>43899</v>
      </c>
      <c r="C800" s="16">
        <v>8</v>
      </c>
      <c r="D800" s="17" t="str">
        <f>IF(C800="","",VLOOKUP(C800,'Objekt Aufstellung'!$A$2:$B$51,2))</f>
        <v>Schützenstraße 20</v>
      </c>
      <c r="E800" s="17" t="s">
        <v>149</v>
      </c>
      <c r="F800" s="17" t="s">
        <v>17</v>
      </c>
      <c r="G800" s="18" t="s">
        <v>1703</v>
      </c>
      <c r="H800" s="17" t="s">
        <v>13</v>
      </c>
      <c r="I800" s="36" t="s">
        <v>706</v>
      </c>
      <c r="J800" s="36" t="s">
        <v>706</v>
      </c>
    </row>
    <row r="801" spans="1:10" ht="16" x14ac:dyDescent="0.2">
      <c r="A801" s="16" t="s">
        <v>1704</v>
      </c>
      <c r="B801" s="34">
        <v>43899</v>
      </c>
      <c r="C801" s="16">
        <v>3</v>
      </c>
      <c r="D801" s="17" t="str">
        <f>IF(C801="","",VLOOKUP(C801,'Objekt Aufstellung'!$A$2:$B$51,2))</f>
        <v xml:space="preserve"> Schloßstraße 19</v>
      </c>
      <c r="E801" s="17" t="s">
        <v>344</v>
      </c>
      <c r="F801" s="17" t="s">
        <v>1705</v>
      </c>
      <c r="G801" s="18" t="s">
        <v>1706</v>
      </c>
      <c r="H801" s="17" t="s">
        <v>13</v>
      </c>
      <c r="I801" s="23" t="s">
        <v>48</v>
      </c>
      <c r="J801" s="21" t="s">
        <v>48</v>
      </c>
    </row>
    <row r="802" spans="1:10" ht="16" x14ac:dyDescent="0.2">
      <c r="A802" s="16" t="s">
        <v>1707</v>
      </c>
      <c r="B802" s="34">
        <v>43899</v>
      </c>
      <c r="C802" s="16">
        <v>48</v>
      </c>
      <c r="D802" s="17" t="str">
        <f>IF(C802="","",VLOOKUP(C802,'Objekt Aufstellung'!$A$2:$B$51,2))</f>
        <v>Mendelsohnstraße 3</v>
      </c>
      <c r="E802" s="17" t="s">
        <v>740</v>
      </c>
      <c r="F802" s="17" t="s">
        <v>1708</v>
      </c>
      <c r="G802" s="18" t="s">
        <v>1709</v>
      </c>
      <c r="H802" s="17" t="s">
        <v>13</v>
      </c>
      <c r="I802" s="23" t="s">
        <v>119</v>
      </c>
      <c r="J802" s="21" t="s">
        <v>119</v>
      </c>
    </row>
    <row r="803" spans="1:10" ht="16" x14ac:dyDescent="0.2">
      <c r="A803" s="16" t="s">
        <v>1710</v>
      </c>
      <c r="B803" s="34">
        <v>43900</v>
      </c>
      <c r="C803" s="16">
        <v>12</v>
      </c>
      <c r="D803" s="17" t="str">
        <f>IF(C803="","",VLOOKUP(C803,'Objekt Aufstellung'!$A$2:$B$51,2))</f>
        <v>Merowingerstr. 17</v>
      </c>
      <c r="E803" s="17" t="s">
        <v>1711</v>
      </c>
      <c r="F803" s="17" t="s">
        <v>17</v>
      </c>
      <c r="G803" s="18" t="s">
        <v>1712</v>
      </c>
      <c r="H803" s="17" t="s">
        <v>23</v>
      </c>
      <c r="I803" s="45" t="s">
        <v>14</v>
      </c>
      <c r="J803" s="21" t="s">
        <v>14</v>
      </c>
    </row>
    <row r="804" spans="1:10" ht="16" x14ac:dyDescent="0.2">
      <c r="A804" s="16" t="s">
        <v>1713</v>
      </c>
      <c r="B804" s="34">
        <v>43900</v>
      </c>
      <c r="C804" s="16">
        <v>43</v>
      </c>
      <c r="D804" s="17" t="str">
        <f>IF(C804="","",VLOOKUP(C804,'Objekt Aufstellung'!$A$2:$B$51,2))</f>
        <v>Neumühler Straße 35</v>
      </c>
      <c r="E804" s="17" t="s">
        <v>358</v>
      </c>
      <c r="F804" s="17" t="s">
        <v>1714</v>
      </c>
      <c r="G804" s="18" t="s">
        <v>1715</v>
      </c>
      <c r="H804" s="17" t="s">
        <v>13</v>
      </c>
      <c r="I804" s="23" t="s">
        <v>14</v>
      </c>
      <c r="J804" s="21" t="s">
        <v>14</v>
      </c>
    </row>
    <row r="805" spans="1:10" ht="16" x14ac:dyDescent="0.2">
      <c r="A805" s="16" t="s">
        <v>1716</v>
      </c>
      <c r="B805" s="34">
        <v>43900</v>
      </c>
      <c r="C805" s="16">
        <v>43</v>
      </c>
      <c r="D805" s="17" t="str">
        <f>IF(C805="","",VLOOKUP(C805,'Objekt Aufstellung'!$A$2:$B$51,2))</f>
        <v>Neumühler Straße 35</v>
      </c>
      <c r="E805" s="17" t="s">
        <v>43</v>
      </c>
      <c r="F805" s="17" t="s">
        <v>1383</v>
      </c>
      <c r="G805" s="18" t="s">
        <v>1717</v>
      </c>
      <c r="H805" s="17" t="s">
        <v>13</v>
      </c>
      <c r="I805" s="37" t="s">
        <v>706</v>
      </c>
      <c r="J805" s="21" t="s">
        <v>252</v>
      </c>
    </row>
    <row r="806" spans="1:10" ht="16" x14ac:dyDescent="0.2">
      <c r="A806" s="16" t="s">
        <v>1718</v>
      </c>
      <c r="B806" s="34">
        <v>43900</v>
      </c>
      <c r="C806" s="16">
        <v>39</v>
      </c>
      <c r="D806" s="17" t="str">
        <f>IF(C806="","",VLOOKUP(C806,'Objekt Aufstellung'!$A$2:$B$51,2))</f>
        <v>Metzer Straße 28</v>
      </c>
      <c r="E806" s="17" t="s">
        <v>43</v>
      </c>
      <c r="F806" s="17" t="s">
        <v>1383</v>
      </c>
      <c r="G806" s="18" t="s">
        <v>1719</v>
      </c>
      <c r="H806" s="17" t="s">
        <v>13</v>
      </c>
      <c r="I806" s="37" t="s">
        <v>706</v>
      </c>
      <c r="J806" s="45" t="s">
        <v>706</v>
      </c>
    </row>
    <row r="807" spans="1:10" ht="16" x14ac:dyDescent="0.2">
      <c r="A807" s="16" t="s">
        <v>1720</v>
      </c>
      <c r="B807" s="34">
        <v>43901</v>
      </c>
      <c r="C807" s="16">
        <v>13</v>
      </c>
      <c r="D807" s="17" t="str">
        <f>IF(C807="","",VLOOKUP(C807,'Objekt Aufstellung'!$A$2:$B$51,2))</f>
        <v>Borsigstraße 7</v>
      </c>
      <c r="E807" s="17" t="s">
        <v>637</v>
      </c>
      <c r="F807" s="17" t="s">
        <v>1721</v>
      </c>
      <c r="G807" s="18" t="s">
        <v>1722</v>
      </c>
      <c r="H807" s="17" t="s">
        <v>13</v>
      </c>
      <c r="I807" s="45" t="s">
        <v>706</v>
      </c>
      <c r="J807" s="45" t="s">
        <v>706</v>
      </c>
    </row>
    <row r="808" spans="1:10" ht="16" x14ac:dyDescent="0.2">
      <c r="A808" s="16" t="s">
        <v>1723</v>
      </c>
      <c r="B808" s="34">
        <v>43901</v>
      </c>
      <c r="C808" s="16">
        <v>13</v>
      </c>
      <c r="D808" s="17" t="str">
        <f>IF(C808="","",VLOOKUP(C808,'Objekt Aufstellung'!$A$2:$B$51,2))</f>
        <v>Borsigstraße 7</v>
      </c>
      <c r="E808" s="17" t="s">
        <v>637</v>
      </c>
      <c r="F808" s="17" t="s">
        <v>1721</v>
      </c>
      <c r="G808" s="18" t="s">
        <v>1724</v>
      </c>
      <c r="H808" s="17" t="s">
        <v>13</v>
      </c>
      <c r="I808" s="23" t="s">
        <v>119</v>
      </c>
      <c r="J808" s="21" t="s">
        <v>119</v>
      </c>
    </row>
    <row r="809" spans="1:10" ht="16" x14ac:dyDescent="0.2">
      <c r="A809" s="16" t="s">
        <v>1725</v>
      </c>
      <c r="B809" s="34">
        <v>43901</v>
      </c>
      <c r="C809" s="16">
        <v>38</v>
      </c>
      <c r="D809" s="17" t="str">
        <f>IF(C809="","",VLOOKUP(C809,'Objekt Aufstellung'!$A$2:$B$51,2))</f>
        <v>Koloniestraße 205</v>
      </c>
      <c r="E809" s="17" t="s">
        <v>1726</v>
      </c>
      <c r="F809" s="17" t="s">
        <v>1727</v>
      </c>
      <c r="G809" s="18" t="s">
        <v>1728</v>
      </c>
      <c r="H809" s="17" t="s">
        <v>13</v>
      </c>
      <c r="I809" s="23" t="s">
        <v>14</v>
      </c>
      <c r="J809" s="21" t="s">
        <v>14</v>
      </c>
    </row>
    <row r="810" spans="1:10" ht="16" x14ac:dyDescent="0.2">
      <c r="A810" s="16" t="s">
        <v>1729</v>
      </c>
      <c r="B810" s="34">
        <v>43902</v>
      </c>
      <c r="C810" s="16">
        <v>44</v>
      </c>
      <c r="D810" s="17" t="str">
        <f>IF(C810="","",VLOOKUP(C810,'Objekt Aufstellung'!$A$2:$B$51,2))</f>
        <v>Neumühler Straße 37</v>
      </c>
      <c r="E810" s="17" t="s">
        <v>43</v>
      </c>
      <c r="F810" s="17"/>
      <c r="G810" s="18" t="s">
        <v>1730</v>
      </c>
      <c r="H810" s="29" t="s">
        <v>13</v>
      </c>
      <c r="I810" s="45" t="s">
        <v>706</v>
      </c>
      <c r="J810" s="45" t="s">
        <v>706</v>
      </c>
    </row>
    <row r="811" spans="1:10" ht="16" x14ac:dyDescent="0.2">
      <c r="A811" s="16" t="s">
        <v>1731</v>
      </c>
      <c r="B811" s="34">
        <v>43902</v>
      </c>
      <c r="C811" s="16">
        <v>39</v>
      </c>
      <c r="D811" s="17" t="str">
        <f>IF(C811="","",VLOOKUP(C811,'Objekt Aufstellung'!$A$2:$B$51,2))</f>
        <v>Metzer Straße 28</v>
      </c>
      <c r="E811" s="29" t="s">
        <v>43</v>
      </c>
      <c r="F811" s="17" t="s">
        <v>1732</v>
      </c>
      <c r="G811" s="18" t="s">
        <v>1733</v>
      </c>
      <c r="H811" s="29" t="s">
        <v>13</v>
      </c>
      <c r="I811" s="45" t="s">
        <v>706</v>
      </c>
      <c r="J811" s="45" t="s">
        <v>706</v>
      </c>
    </row>
    <row r="812" spans="1:10" ht="16" x14ac:dyDescent="0.2">
      <c r="A812" s="16" t="s">
        <v>1734</v>
      </c>
      <c r="B812" s="34">
        <v>43902</v>
      </c>
      <c r="C812" s="16">
        <v>16</v>
      </c>
      <c r="D812" s="17" t="str">
        <f>IF(C812="","",VLOOKUP(C812,'Objekt Aufstellung'!$A$2:$B$51,2))</f>
        <v>Hoppengarten 17</v>
      </c>
      <c r="E812" s="17" t="s">
        <v>10</v>
      </c>
      <c r="F812" s="17" t="s">
        <v>17</v>
      </c>
      <c r="G812" s="18" t="s">
        <v>1735</v>
      </c>
      <c r="H812" s="17" t="s">
        <v>13</v>
      </c>
      <c r="I812" s="45" t="s">
        <v>706</v>
      </c>
      <c r="J812" s="21" t="s">
        <v>706</v>
      </c>
    </row>
    <row r="813" spans="1:10" ht="16" x14ac:dyDescent="0.2">
      <c r="A813" s="16" t="s">
        <v>1736</v>
      </c>
      <c r="B813" s="34">
        <v>43902</v>
      </c>
      <c r="C813" s="16">
        <v>48</v>
      </c>
      <c r="D813" s="17" t="str">
        <f>IF(C813="","",VLOOKUP(C813,'Objekt Aufstellung'!$A$2:$B$51,2))</f>
        <v>Mendelsohnstraße 3</v>
      </c>
      <c r="E813" s="17" t="s">
        <v>36</v>
      </c>
      <c r="F813" s="17"/>
      <c r="G813" s="18" t="s">
        <v>1737</v>
      </c>
      <c r="H813" s="17" t="s">
        <v>13</v>
      </c>
      <c r="I813" s="23" t="s">
        <v>14</v>
      </c>
      <c r="J813" s="21" t="s">
        <v>14</v>
      </c>
    </row>
    <row r="814" spans="1:10" ht="16" x14ac:dyDescent="0.2">
      <c r="A814" s="16" t="s">
        <v>1738</v>
      </c>
      <c r="B814" s="34">
        <v>43906</v>
      </c>
      <c r="C814" s="16">
        <v>15</v>
      </c>
      <c r="D814" s="17" t="str">
        <f>IF(C814="","",VLOOKUP(C814,'Objekt Aufstellung'!$A$2:$B$51,2))</f>
        <v>Hoppengarten 15</v>
      </c>
      <c r="E814" s="17" t="s">
        <v>693</v>
      </c>
      <c r="F814" s="17" t="s">
        <v>1739</v>
      </c>
      <c r="G814" s="18" t="s">
        <v>1740</v>
      </c>
      <c r="H814" s="17" t="s">
        <v>13</v>
      </c>
      <c r="I814" s="23" t="s">
        <v>48</v>
      </c>
      <c r="J814" s="21" t="s">
        <v>48</v>
      </c>
    </row>
    <row r="815" spans="1:10" ht="16" x14ac:dyDescent="0.2">
      <c r="A815" s="16" t="s">
        <v>1741</v>
      </c>
      <c r="B815" s="34">
        <v>43886.02</v>
      </c>
      <c r="C815" s="16">
        <v>20</v>
      </c>
      <c r="D815" s="17" t="str">
        <f>IF(C815="","",VLOOKUP(C815,'Objekt Aufstellung'!$A$2:$B$51,2))</f>
        <v>Kranzstraße 103</v>
      </c>
      <c r="E815" s="17" t="s">
        <v>434</v>
      </c>
      <c r="F815" s="17" t="s">
        <v>1668</v>
      </c>
      <c r="G815" s="18" t="s">
        <v>1742</v>
      </c>
      <c r="H815" s="17" t="s">
        <v>13</v>
      </c>
      <c r="I815" s="23" t="s">
        <v>200</v>
      </c>
      <c r="J815" s="21" t="s">
        <v>200</v>
      </c>
    </row>
    <row r="816" spans="1:10" ht="16" x14ac:dyDescent="0.2">
      <c r="A816" s="16" t="s">
        <v>1743</v>
      </c>
      <c r="B816" s="34">
        <v>43907</v>
      </c>
      <c r="C816" s="16">
        <v>3</v>
      </c>
      <c r="D816" s="17" t="str">
        <f>IF(C816="","",VLOOKUP(C816,'Objekt Aufstellung'!$A$2:$B$51,2))</f>
        <v xml:space="preserve"> Schloßstraße 19</v>
      </c>
      <c r="E816" s="17" t="s">
        <v>10</v>
      </c>
      <c r="F816" s="17" t="s">
        <v>17</v>
      </c>
      <c r="G816" s="18" t="s">
        <v>1744</v>
      </c>
      <c r="H816" s="17" t="s">
        <v>13</v>
      </c>
      <c r="I816" s="23" t="s">
        <v>181</v>
      </c>
      <c r="J816" s="21"/>
    </row>
    <row r="817" spans="1:11" ht="16" x14ac:dyDescent="0.2">
      <c r="A817" s="16" t="s">
        <v>1745</v>
      </c>
      <c r="B817" s="34">
        <v>43907</v>
      </c>
      <c r="C817" s="16">
        <v>19</v>
      </c>
      <c r="D817" s="17" t="str">
        <f>IF(C817="","",VLOOKUP(C817,'Objekt Aufstellung'!$A$2:$B$51,2))</f>
        <v>Alte Bachstraße 25</v>
      </c>
      <c r="E817" s="17" t="s">
        <v>165</v>
      </c>
      <c r="F817" s="17"/>
      <c r="G817" s="18" t="s">
        <v>1746</v>
      </c>
      <c r="H817" s="17" t="s">
        <v>23</v>
      </c>
      <c r="I817" s="23" t="s">
        <v>14</v>
      </c>
      <c r="J817" s="21" t="s">
        <v>14</v>
      </c>
    </row>
    <row r="818" spans="1:11" ht="16" x14ac:dyDescent="0.2">
      <c r="A818" s="16" t="s">
        <v>1747</v>
      </c>
      <c r="B818" s="34">
        <v>43907</v>
      </c>
      <c r="C818" s="16">
        <v>8</v>
      </c>
      <c r="D818" s="17" t="str">
        <f>IF(C818="","",VLOOKUP(C818,'Objekt Aufstellung'!$A$2:$B$51,2))</f>
        <v>Schützenstraße 20</v>
      </c>
      <c r="E818" s="17" t="s">
        <v>149</v>
      </c>
      <c r="F818" s="17" t="s">
        <v>17</v>
      </c>
      <c r="G818" s="18" t="s">
        <v>1748</v>
      </c>
      <c r="H818" s="17" t="s">
        <v>13</v>
      </c>
      <c r="I818" s="23" t="s">
        <v>914</v>
      </c>
      <c r="J818" s="21" t="s">
        <v>914</v>
      </c>
    </row>
    <row r="819" spans="1:11" ht="16" x14ac:dyDescent="0.2">
      <c r="A819" s="16" t="s">
        <v>1749</v>
      </c>
      <c r="B819" s="34">
        <v>43908</v>
      </c>
      <c r="C819" s="16">
        <v>19</v>
      </c>
      <c r="D819" s="17" t="str">
        <f>IF(C819="","",VLOOKUP(C819,'Objekt Aufstellung'!$A$2:$B$51,2))</f>
        <v>Alte Bachstraße 25</v>
      </c>
      <c r="E819" s="17" t="s">
        <v>1203</v>
      </c>
      <c r="F819" s="17" t="s">
        <v>1204</v>
      </c>
      <c r="G819" s="18" t="s">
        <v>1750</v>
      </c>
      <c r="H819" s="17" t="s">
        <v>23</v>
      </c>
      <c r="I819" s="45" t="s">
        <v>200</v>
      </c>
      <c r="J819" s="21" t="s">
        <v>200</v>
      </c>
    </row>
    <row r="820" spans="1:11" ht="32" x14ac:dyDescent="0.2">
      <c r="A820" s="16" t="s">
        <v>1751</v>
      </c>
      <c r="B820" s="34">
        <v>43909</v>
      </c>
      <c r="C820" s="16">
        <v>9</v>
      </c>
      <c r="D820" s="17" t="str">
        <f>IF(C820="","",VLOOKUP(C820,'Objekt Aufstellung'!$A$2:$B$51,2))</f>
        <v>Stockkampstraße 47</v>
      </c>
      <c r="E820" s="17" t="s">
        <v>344</v>
      </c>
      <c r="F820" s="17" t="s">
        <v>1752</v>
      </c>
      <c r="G820" s="18" t="s">
        <v>1753</v>
      </c>
      <c r="H820" s="17" t="s">
        <v>13</v>
      </c>
      <c r="I820" s="23" t="s">
        <v>119</v>
      </c>
      <c r="J820" s="21" t="s">
        <v>119</v>
      </c>
    </row>
    <row r="821" spans="1:11" ht="16" x14ac:dyDescent="0.2">
      <c r="A821" s="16" t="s">
        <v>1754</v>
      </c>
      <c r="B821" s="34">
        <v>43910</v>
      </c>
      <c r="C821" s="16">
        <v>13</v>
      </c>
      <c r="D821" s="17" t="str">
        <f>IF(C821="","",VLOOKUP(C821,'Objekt Aufstellung'!$A$2:$B$51,2))</f>
        <v>Borsigstraße 7</v>
      </c>
      <c r="E821" s="17" t="s">
        <v>16</v>
      </c>
      <c r="F821" s="17" t="s">
        <v>1755</v>
      </c>
      <c r="G821" s="18" t="s">
        <v>294</v>
      </c>
      <c r="H821" s="17" t="s">
        <v>13</v>
      </c>
      <c r="I821" s="23" t="s">
        <v>181</v>
      </c>
      <c r="J821" s="21" t="s">
        <v>181</v>
      </c>
    </row>
    <row r="822" spans="1:11" ht="16" x14ac:dyDescent="0.2">
      <c r="A822" s="16" t="s">
        <v>1756</v>
      </c>
      <c r="B822" s="34">
        <v>43913</v>
      </c>
      <c r="C822" s="16">
        <v>28</v>
      </c>
      <c r="D822" s="17" t="str">
        <f>IF(C822="","",VLOOKUP(C822,'Objekt Aufstellung'!$A$2:$B$51,2))</f>
        <v>Koppelskamp 8</v>
      </c>
      <c r="E822" s="17" t="s">
        <v>1757</v>
      </c>
      <c r="F822" s="17" t="s">
        <v>1758</v>
      </c>
      <c r="G822" s="18" t="s">
        <v>1759</v>
      </c>
      <c r="H822" s="17" t="s">
        <v>13</v>
      </c>
      <c r="I822" s="23" t="s">
        <v>14</v>
      </c>
      <c r="J822" s="21" t="s">
        <v>14</v>
      </c>
    </row>
    <row r="823" spans="1:11" ht="16" x14ac:dyDescent="0.2">
      <c r="A823" s="16" t="s">
        <v>1760</v>
      </c>
      <c r="B823" s="34">
        <v>43913</v>
      </c>
      <c r="C823" s="16">
        <v>34</v>
      </c>
      <c r="D823" s="17" t="str">
        <f>IF(C823="","",VLOOKUP(C823,'Objekt Aufstellung'!$A$2:$B$51,2))</f>
        <v>Koppelskamp 7</v>
      </c>
      <c r="E823" s="17" t="s">
        <v>60</v>
      </c>
      <c r="F823" s="17" t="s">
        <v>1761</v>
      </c>
      <c r="G823" s="18" t="s">
        <v>1762</v>
      </c>
      <c r="H823" s="17" t="s">
        <v>23</v>
      </c>
      <c r="I823" s="23" t="s">
        <v>14</v>
      </c>
      <c r="J823" s="21" t="s">
        <v>14</v>
      </c>
    </row>
    <row r="824" spans="1:11" ht="16" x14ac:dyDescent="0.2">
      <c r="A824" s="16" t="s">
        <v>1763</v>
      </c>
      <c r="B824" s="34">
        <v>43914</v>
      </c>
      <c r="C824" s="16">
        <v>13</v>
      </c>
      <c r="D824" s="17" t="str">
        <f>IF(C824="","",VLOOKUP(C824,'Objekt Aufstellung'!$A$2:$B$51,2))</f>
        <v>Borsigstraße 7</v>
      </c>
      <c r="E824" s="17" t="s">
        <v>10</v>
      </c>
      <c r="F824" s="17" t="s">
        <v>1721</v>
      </c>
      <c r="G824" s="18" t="s">
        <v>1270</v>
      </c>
      <c r="H824" s="17" t="s">
        <v>13</v>
      </c>
      <c r="I824" s="23" t="s">
        <v>119</v>
      </c>
      <c r="J824" s="21" t="s">
        <v>119</v>
      </c>
    </row>
    <row r="825" spans="1:11" ht="32" x14ac:dyDescent="0.2">
      <c r="A825" s="16" t="s">
        <v>1764</v>
      </c>
      <c r="B825" s="34">
        <v>43914</v>
      </c>
      <c r="C825" s="16">
        <v>21</v>
      </c>
      <c r="D825" s="17" t="str">
        <f>IF(C825="","",VLOOKUP(C825,'Objekt Aufstellung'!$A$2:$B$51,2))</f>
        <v>Broicherdorfstraße 3</v>
      </c>
      <c r="E825" s="17" t="s">
        <v>766</v>
      </c>
      <c r="F825" s="17" t="s">
        <v>1765</v>
      </c>
      <c r="G825" s="18" t="s">
        <v>1766</v>
      </c>
      <c r="H825" s="17" t="s">
        <v>23</v>
      </c>
      <c r="I825" s="23" t="s">
        <v>14</v>
      </c>
      <c r="J825" s="21" t="s">
        <v>14</v>
      </c>
    </row>
    <row r="826" spans="1:11" ht="57" customHeight="1" x14ac:dyDescent="0.2">
      <c r="A826" s="16" t="s">
        <v>1767</v>
      </c>
      <c r="B826" s="34">
        <v>43914</v>
      </c>
      <c r="C826" s="16">
        <v>22</v>
      </c>
      <c r="D826" s="17" t="str">
        <f>IF(C826="","",VLOOKUP(C826,'Objekt Aufstellung'!$A$2:$B$51,2))</f>
        <v>Grafenberger Allee 235</v>
      </c>
      <c r="E826" s="17" t="s">
        <v>1768</v>
      </c>
      <c r="F826" s="17" t="s">
        <v>1769</v>
      </c>
      <c r="G826" s="18" t="s">
        <v>1770</v>
      </c>
      <c r="H826" s="17" t="s">
        <v>58</v>
      </c>
      <c r="I826" s="23" t="s">
        <v>119</v>
      </c>
      <c r="J826" s="21"/>
      <c r="K826" s="54"/>
    </row>
    <row r="827" spans="1:11" ht="16" x14ac:dyDescent="0.2">
      <c r="A827" s="16" t="s">
        <v>1771</v>
      </c>
      <c r="B827" s="34">
        <v>43914</v>
      </c>
      <c r="C827" s="16">
        <v>22</v>
      </c>
      <c r="D827" s="17" t="str">
        <f>IF(C827="","",VLOOKUP(C827,'Objekt Aufstellung'!$A$2:$B$51,2))</f>
        <v>Grafenberger Allee 235</v>
      </c>
      <c r="E827" s="17" t="s">
        <v>1772</v>
      </c>
      <c r="F827" s="17" t="s">
        <v>1769</v>
      </c>
      <c r="G827" s="18" t="s">
        <v>1773</v>
      </c>
      <c r="H827" s="17" t="s">
        <v>58</v>
      </c>
      <c r="I827" s="23" t="s">
        <v>14</v>
      </c>
      <c r="J827" s="21" t="s">
        <v>14</v>
      </c>
    </row>
    <row r="828" spans="1:11" ht="16" x14ac:dyDescent="0.2">
      <c r="A828" s="16" t="s">
        <v>1774</v>
      </c>
      <c r="B828" s="34">
        <v>43915</v>
      </c>
      <c r="C828" s="16">
        <v>42</v>
      </c>
      <c r="D828" s="17" t="str">
        <f>IF(C828="","",VLOOKUP(C828,'Objekt Aufstellung'!$A$2:$B$51,2))</f>
        <v>Metzer Straße 17</v>
      </c>
      <c r="E828" s="17" t="s">
        <v>256</v>
      </c>
      <c r="F828" s="17" t="s">
        <v>1775</v>
      </c>
      <c r="G828" s="18" t="s">
        <v>1776</v>
      </c>
      <c r="H828" s="17" t="s">
        <v>13</v>
      </c>
      <c r="I828" s="23" t="s">
        <v>900</v>
      </c>
      <c r="J828" s="21" t="s">
        <v>900</v>
      </c>
    </row>
    <row r="829" spans="1:11" ht="16" x14ac:dyDescent="0.2">
      <c r="A829" s="16" t="s">
        <v>1777</v>
      </c>
      <c r="B829" s="34">
        <v>43915</v>
      </c>
      <c r="C829" s="16">
        <v>15</v>
      </c>
      <c r="D829" s="17" t="str">
        <f>IF(C829="","",VLOOKUP(C829,'Objekt Aufstellung'!$A$2:$B$51,2))</f>
        <v>Hoppengarten 15</v>
      </c>
      <c r="E829" s="17" t="s">
        <v>43</v>
      </c>
      <c r="F829" s="17" t="s">
        <v>3</v>
      </c>
      <c r="G829" s="18" t="s">
        <v>1778</v>
      </c>
      <c r="H829" s="17" t="s">
        <v>13</v>
      </c>
      <c r="I829" s="36" t="s">
        <v>706</v>
      </c>
      <c r="J829" s="36" t="s">
        <v>706</v>
      </c>
    </row>
    <row r="830" spans="1:11" ht="16" x14ac:dyDescent="0.2">
      <c r="A830" s="16" t="s">
        <v>1779</v>
      </c>
      <c r="B830" s="34">
        <v>43915</v>
      </c>
      <c r="C830" s="16">
        <v>16</v>
      </c>
      <c r="D830" s="17" t="str">
        <f>IF(C830="","",VLOOKUP(C830,'Objekt Aufstellung'!$A$2:$B$51,2))</f>
        <v>Hoppengarten 17</v>
      </c>
      <c r="E830" s="17" t="s">
        <v>43</v>
      </c>
      <c r="F830" s="17" t="s">
        <v>3</v>
      </c>
      <c r="G830" s="18" t="s">
        <v>1778</v>
      </c>
      <c r="H830" s="17" t="s">
        <v>13</v>
      </c>
      <c r="I830" s="36" t="s">
        <v>706</v>
      </c>
      <c r="J830" s="36" t="s">
        <v>706</v>
      </c>
    </row>
    <row r="831" spans="1:11" ht="32" x14ac:dyDescent="0.2">
      <c r="A831" s="16" t="s">
        <v>1780</v>
      </c>
      <c r="B831" s="34">
        <v>43914</v>
      </c>
      <c r="C831" s="16">
        <v>7</v>
      </c>
      <c r="D831" s="17" t="str">
        <f>IF(C831="","",VLOOKUP(C831,'Objekt Aufstellung'!$A$2:$B$51,2))</f>
        <v>Engerstraße 3</v>
      </c>
      <c r="E831" s="17" t="s">
        <v>43</v>
      </c>
      <c r="F831" s="17" t="s">
        <v>791</v>
      </c>
      <c r="G831" s="18" t="s">
        <v>1781</v>
      </c>
      <c r="H831" s="17" t="s">
        <v>119</v>
      </c>
      <c r="I831" s="36" t="s">
        <v>706</v>
      </c>
      <c r="J831" s="36" t="s">
        <v>706</v>
      </c>
    </row>
    <row r="832" spans="1:11" ht="16" x14ac:dyDescent="0.2">
      <c r="A832" s="16" t="s">
        <v>1782</v>
      </c>
      <c r="B832" s="34">
        <v>43916</v>
      </c>
      <c r="C832" s="16">
        <v>36</v>
      </c>
      <c r="D832" s="17" t="str">
        <f>IF(C832="","",VLOOKUP(C832,'Objekt Aufstellung'!$A$2:$B$51,2))</f>
        <v>Lintorfer Waldstraße 8</v>
      </c>
      <c r="E832" s="17" t="s">
        <v>358</v>
      </c>
      <c r="F832" s="17" t="s">
        <v>1783</v>
      </c>
      <c r="G832" s="18" t="s">
        <v>1784</v>
      </c>
      <c r="H832" s="17" t="s">
        <v>13</v>
      </c>
      <c r="I832" s="23" t="s">
        <v>900</v>
      </c>
      <c r="J832" s="21" t="s">
        <v>900</v>
      </c>
    </row>
    <row r="833" spans="1:10" ht="16" x14ac:dyDescent="0.2">
      <c r="A833" s="16" t="s">
        <v>1785</v>
      </c>
      <c r="B833" s="34">
        <v>43916</v>
      </c>
      <c r="C833" s="16">
        <v>36</v>
      </c>
      <c r="D833" s="17" t="str">
        <f>IF(C833="","",VLOOKUP(C833,'Objekt Aufstellung'!$A$2:$B$51,2))</f>
        <v>Lintorfer Waldstraße 8</v>
      </c>
      <c r="E833" s="17" t="s">
        <v>358</v>
      </c>
      <c r="F833" s="17" t="s">
        <v>1783</v>
      </c>
      <c r="G833" s="18" t="s">
        <v>1786</v>
      </c>
      <c r="H833" s="17" t="s">
        <v>13</v>
      </c>
      <c r="I833" s="23" t="s">
        <v>14</v>
      </c>
      <c r="J833" s="21" t="s">
        <v>14</v>
      </c>
    </row>
    <row r="834" spans="1:10" ht="16" x14ac:dyDescent="0.2">
      <c r="A834" s="16" t="s">
        <v>1787</v>
      </c>
      <c r="B834" s="34">
        <v>43916</v>
      </c>
      <c r="C834" s="16">
        <v>36</v>
      </c>
      <c r="D834" s="17" t="str">
        <f>IF(C834="","",VLOOKUP(C834,'Objekt Aufstellung'!$A$2:$B$51,2))</f>
        <v>Lintorfer Waldstraße 8</v>
      </c>
      <c r="E834" s="17" t="s">
        <v>358</v>
      </c>
      <c r="F834" s="17" t="s">
        <v>1783</v>
      </c>
      <c r="G834" s="18" t="s">
        <v>1788</v>
      </c>
      <c r="H834" s="17" t="s">
        <v>13</v>
      </c>
      <c r="I834" s="45" t="s">
        <v>48</v>
      </c>
      <c r="J834" s="21" t="s">
        <v>252</v>
      </c>
    </row>
    <row r="835" spans="1:10" ht="32" x14ac:dyDescent="0.2">
      <c r="A835" s="16" t="s">
        <v>1789</v>
      </c>
      <c r="B835" s="34">
        <v>43915</v>
      </c>
      <c r="C835" s="16">
        <v>41</v>
      </c>
      <c r="D835" s="17" t="str">
        <f>IF(C835="","",VLOOKUP(C835,'Objekt Aufstellung'!$A$2:$B$51,2))</f>
        <v>Spichernstraße 27</v>
      </c>
      <c r="E835" s="17" t="s">
        <v>637</v>
      </c>
      <c r="F835" s="17" t="s">
        <v>430</v>
      </c>
      <c r="G835" s="18" t="s">
        <v>1790</v>
      </c>
      <c r="H835" s="17" t="s">
        <v>13</v>
      </c>
      <c r="I835" s="23" t="s">
        <v>19</v>
      </c>
      <c r="J835" s="21" t="s">
        <v>19</v>
      </c>
    </row>
    <row r="836" spans="1:10" ht="16" x14ac:dyDescent="0.2">
      <c r="A836" s="16" t="s">
        <v>1791</v>
      </c>
      <c r="B836" s="34">
        <v>43916</v>
      </c>
      <c r="C836" s="16">
        <v>4</v>
      </c>
      <c r="D836" s="17" t="str">
        <f>IF(C836="","",VLOOKUP(C836,'Objekt Aufstellung'!$A$2:$B$51,2))</f>
        <v>Neanderstraße 15</v>
      </c>
      <c r="E836" s="17" t="s">
        <v>637</v>
      </c>
      <c r="F836" s="17" t="s">
        <v>444</v>
      </c>
      <c r="G836" s="18" t="s">
        <v>1792</v>
      </c>
      <c r="H836" s="17" t="s">
        <v>13</v>
      </c>
      <c r="I836" s="23" t="s">
        <v>19</v>
      </c>
      <c r="J836" s="21" t="s">
        <v>252</v>
      </c>
    </row>
    <row r="837" spans="1:10" ht="16" x14ac:dyDescent="0.2">
      <c r="A837" s="16" t="s">
        <v>1793</v>
      </c>
      <c r="B837" s="34">
        <v>43916</v>
      </c>
      <c r="C837" s="16">
        <v>37</v>
      </c>
      <c r="D837" s="17" t="str">
        <f>IF(C837="","",VLOOKUP(C837,'Objekt Aufstellung'!$A$2:$B$51,2))</f>
        <v>Lintorfer Waldstraße 10</v>
      </c>
      <c r="E837" s="17" t="s">
        <v>264</v>
      </c>
      <c r="F837" s="17"/>
      <c r="G837" s="18" t="s">
        <v>1794</v>
      </c>
      <c r="H837" s="17" t="s">
        <v>13</v>
      </c>
      <c r="I837" s="23" t="s">
        <v>181</v>
      </c>
      <c r="J837" s="21" t="s">
        <v>181</v>
      </c>
    </row>
    <row r="838" spans="1:10" ht="16" x14ac:dyDescent="0.2">
      <c r="A838" s="16" t="s">
        <v>1795</v>
      </c>
      <c r="B838" s="34">
        <v>43921</v>
      </c>
      <c r="C838" s="16">
        <v>48</v>
      </c>
      <c r="D838" s="17" t="str">
        <f>IF(C838="","",VLOOKUP(C838,'Objekt Aufstellung'!$A$2:$B$51,2))</f>
        <v>Mendelsohnstraße 3</v>
      </c>
      <c r="E838" s="17" t="s">
        <v>78</v>
      </c>
      <c r="F838" s="17"/>
      <c r="G838" s="18" t="s">
        <v>1796</v>
      </c>
      <c r="H838" s="17" t="s">
        <v>13</v>
      </c>
      <c r="I838" s="23" t="s">
        <v>14</v>
      </c>
      <c r="J838" s="21" t="s">
        <v>14</v>
      </c>
    </row>
    <row r="839" spans="1:10" ht="32" x14ac:dyDescent="0.2">
      <c r="A839" s="16" t="s">
        <v>1797</v>
      </c>
      <c r="B839" s="34">
        <v>43921</v>
      </c>
      <c r="C839" s="16">
        <v>23</v>
      </c>
      <c r="D839" s="17" t="str">
        <f>IF(C839="","",VLOOKUP(C839,'Objekt Aufstellung'!$A$2:$B$51,2))</f>
        <v>Börnestraße 2</v>
      </c>
      <c r="E839" s="17" t="s">
        <v>78</v>
      </c>
      <c r="F839" s="17" t="s">
        <v>665</v>
      </c>
      <c r="G839" s="18" t="s">
        <v>1798</v>
      </c>
      <c r="H839" s="17" t="s">
        <v>13</v>
      </c>
      <c r="I839" s="23" t="s">
        <v>119</v>
      </c>
      <c r="J839" s="21"/>
    </row>
    <row r="840" spans="1:10" ht="16" x14ac:dyDescent="0.2">
      <c r="A840" s="16" t="s">
        <v>1799</v>
      </c>
      <c r="B840" s="34">
        <v>43922</v>
      </c>
      <c r="C840" s="16">
        <v>21</v>
      </c>
      <c r="D840" s="17" t="str">
        <f>IF(C840="","",VLOOKUP(C840,'Objekt Aufstellung'!$A$2:$B$51,2))</f>
        <v>Broicherdorfstraße 3</v>
      </c>
      <c r="E840" s="17" t="s">
        <v>264</v>
      </c>
      <c r="F840" s="17"/>
      <c r="G840" s="18" t="s">
        <v>1800</v>
      </c>
      <c r="H840" s="17" t="s">
        <v>13</v>
      </c>
      <c r="I840" s="36" t="s">
        <v>200</v>
      </c>
      <c r="J840" s="21" t="s">
        <v>200</v>
      </c>
    </row>
    <row r="841" spans="1:10" ht="16" x14ac:dyDescent="0.2">
      <c r="A841" s="16" t="s">
        <v>1801</v>
      </c>
      <c r="B841" s="34">
        <v>43923</v>
      </c>
      <c r="C841" s="16">
        <v>3</v>
      </c>
      <c r="D841" s="17" t="str">
        <f>IF(C841="","",VLOOKUP(C841,'Objekt Aufstellung'!$A$2:$B$51,2))</f>
        <v xml:space="preserve"> Schloßstraße 19</v>
      </c>
      <c r="E841" s="17" t="s">
        <v>149</v>
      </c>
      <c r="F841" s="17" t="s">
        <v>1802</v>
      </c>
      <c r="G841" s="18" t="s">
        <v>1803</v>
      </c>
      <c r="H841" s="17" t="s">
        <v>13</v>
      </c>
      <c r="I841" s="23" t="s">
        <v>14</v>
      </c>
      <c r="J841" s="21" t="s">
        <v>14</v>
      </c>
    </row>
    <row r="842" spans="1:10" ht="16" x14ac:dyDescent="0.2">
      <c r="A842" s="16" t="s">
        <v>1804</v>
      </c>
      <c r="B842" s="34">
        <v>43924</v>
      </c>
      <c r="C842" s="16">
        <v>14</v>
      </c>
      <c r="D842" s="17" t="str">
        <f>IF(C842="","",VLOOKUP(C842,'Objekt Aufstellung'!$A$2:$B$51,2))</f>
        <v>Gerresheimer Landstraße 152</v>
      </c>
      <c r="E842" s="17" t="s">
        <v>693</v>
      </c>
      <c r="F842" s="17" t="s">
        <v>1611</v>
      </c>
      <c r="G842" s="18" t="s">
        <v>109</v>
      </c>
      <c r="H842" s="17" t="s">
        <v>13</v>
      </c>
      <c r="I842" s="23" t="s">
        <v>14</v>
      </c>
      <c r="J842" s="21" t="s">
        <v>14</v>
      </c>
    </row>
    <row r="843" spans="1:10" ht="16" x14ac:dyDescent="0.2">
      <c r="A843" s="16" t="s">
        <v>1805</v>
      </c>
      <c r="B843" s="34">
        <v>43924</v>
      </c>
      <c r="C843" s="16">
        <v>14</v>
      </c>
      <c r="D843" s="17" t="str">
        <f>IF(C843="","",VLOOKUP(C843,'Objekt Aufstellung'!$A$2:$B$51,2))</f>
        <v>Gerresheimer Landstraße 152</v>
      </c>
      <c r="E843" s="17" t="s">
        <v>693</v>
      </c>
      <c r="F843" s="17" t="s">
        <v>1611</v>
      </c>
      <c r="G843" s="18" t="s">
        <v>1806</v>
      </c>
      <c r="H843" s="17" t="s">
        <v>13</v>
      </c>
      <c r="I843" s="23" t="s">
        <v>119</v>
      </c>
      <c r="J843" s="21" t="s">
        <v>119</v>
      </c>
    </row>
    <row r="844" spans="1:10" ht="16" x14ac:dyDescent="0.2">
      <c r="A844" s="16" t="s">
        <v>1807</v>
      </c>
      <c r="B844" s="34">
        <v>43924</v>
      </c>
      <c r="C844" s="16">
        <v>38</v>
      </c>
      <c r="D844" s="17" t="str">
        <f>IF(C844="","",VLOOKUP(C844,'Objekt Aufstellung'!$A$2:$B$51,2))</f>
        <v>Koloniestraße 205</v>
      </c>
      <c r="E844" s="17" t="s">
        <v>1808</v>
      </c>
      <c r="F844" s="17" t="s">
        <v>1727</v>
      </c>
      <c r="G844" s="18" t="s">
        <v>1809</v>
      </c>
      <c r="H844" s="17" t="s">
        <v>13</v>
      </c>
      <c r="I844" s="23" t="s">
        <v>19</v>
      </c>
      <c r="J844" s="21" t="s">
        <v>19</v>
      </c>
    </row>
    <row r="845" spans="1:10" ht="16" x14ac:dyDescent="0.2">
      <c r="A845" s="16" t="s">
        <v>1810</v>
      </c>
      <c r="B845" s="34">
        <v>43927</v>
      </c>
      <c r="C845" s="16">
        <v>8</v>
      </c>
      <c r="D845" s="17" t="str">
        <f>IF(C845="","",VLOOKUP(C845,'Objekt Aufstellung'!$A$2:$B$51,2))</f>
        <v>Schützenstraße 20</v>
      </c>
      <c r="E845" s="17" t="s">
        <v>149</v>
      </c>
      <c r="F845" s="17" t="s">
        <v>1811</v>
      </c>
      <c r="G845" s="18" t="s">
        <v>1812</v>
      </c>
      <c r="H845" s="17" t="s">
        <v>13</v>
      </c>
      <c r="I845" s="23" t="s">
        <v>181</v>
      </c>
      <c r="J845" s="21" t="s">
        <v>252</v>
      </c>
    </row>
    <row r="846" spans="1:10" ht="16" x14ac:dyDescent="0.2">
      <c r="A846" s="16" t="s">
        <v>1813</v>
      </c>
      <c r="B846" s="34">
        <v>43928</v>
      </c>
      <c r="C846" s="16">
        <v>8</v>
      </c>
      <c r="D846" s="17" t="str">
        <f>IF(C846="","",VLOOKUP(C846,'Objekt Aufstellung'!$A$2:$B$51,2))</f>
        <v>Schützenstraße 20</v>
      </c>
      <c r="E846" s="17" t="s">
        <v>149</v>
      </c>
      <c r="F846" s="17" t="s">
        <v>1814</v>
      </c>
      <c r="G846" s="18" t="s">
        <v>1815</v>
      </c>
      <c r="H846" s="17" t="s">
        <v>13</v>
      </c>
      <c r="I846" s="23" t="s">
        <v>200</v>
      </c>
      <c r="J846" s="21" t="s">
        <v>200</v>
      </c>
    </row>
    <row r="847" spans="1:10" ht="16" x14ac:dyDescent="0.2">
      <c r="A847" s="16" t="s">
        <v>1816</v>
      </c>
      <c r="B847" s="34">
        <v>43929</v>
      </c>
      <c r="C847" s="16">
        <v>4</v>
      </c>
      <c r="D847" s="17" t="str">
        <f>IF(C847="","",VLOOKUP(C847,'Objekt Aufstellung'!$A$2:$B$51,2))</f>
        <v>Neanderstraße 15</v>
      </c>
      <c r="E847" s="17" t="s">
        <v>149</v>
      </c>
      <c r="F847" s="17" t="s">
        <v>1817</v>
      </c>
      <c r="G847" s="18" t="s">
        <v>1666</v>
      </c>
      <c r="H847" s="17" t="s">
        <v>13</v>
      </c>
      <c r="I847" s="23" t="s">
        <v>181</v>
      </c>
      <c r="J847" s="21" t="s">
        <v>181</v>
      </c>
    </row>
    <row r="848" spans="1:10" ht="16" x14ac:dyDescent="0.2">
      <c r="A848" s="16" t="s">
        <v>1818</v>
      </c>
      <c r="B848" s="34">
        <v>43929</v>
      </c>
      <c r="C848" s="16">
        <v>48</v>
      </c>
      <c r="D848" s="17" t="str">
        <f>IF(C848="","",VLOOKUP(C848,'Objekt Aufstellung'!$A$2:$B$51,2))</f>
        <v>Mendelsohnstraße 3</v>
      </c>
      <c r="E848" s="17" t="s">
        <v>78</v>
      </c>
      <c r="F848" s="17"/>
      <c r="G848" s="18" t="s">
        <v>1819</v>
      </c>
      <c r="H848" s="17" t="s">
        <v>13</v>
      </c>
      <c r="I848" s="23" t="s">
        <v>411</v>
      </c>
      <c r="J848" s="21" t="s">
        <v>411</v>
      </c>
    </row>
    <row r="849" spans="1:10" ht="16" x14ac:dyDescent="0.2">
      <c r="A849" s="16" t="s">
        <v>1820</v>
      </c>
      <c r="B849" s="34">
        <v>43929</v>
      </c>
      <c r="C849" s="16">
        <v>19</v>
      </c>
      <c r="D849" s="17" t="str">
        <f>IF(C849="","",VLOOKUP(C849,'Objekt Aufstellung'!$A$2:$B$51,2))</f>
        <v>Alte Bachstraße 25</v>
      </c>
      <c r="E849" s="17" t="s">
        <v>399</v>
      </c>
      <c r="F849" s="17"/>
      <c r="G849" s="18" t="s">
        <v>1821</v>
      </c>
      <c r="H849" s="17" t="s">
        <v>13</v>
      </c>
      <c r="I849" s="23" t="s">
        <v>955</v>
      </c>
      <c r="J849" s="21" t="s">
        <v>955</v>
      </c>
    </row>
    <row r="850" spans="1:10" ht="16" x14ac:dyDescent="0.2">
      <c r="A850" s="16" t="s">
        <v>1822</v>
      </c>
      <c r="B850" s="34">
        <v>43913</v>
      </c>
      <c r="C850" s="16">
        <v>20</v>
      </c>
      <c r="D850" s="17" t="str">
        <f>IF(C850="","",VLOOKUP(C850,'Objekt Aufstellung'!$A$2:$B$51,2))</f>
        <v>Kranzstraße 103</v>
      </c>
      <c r="E850" s="17" t="s">
        <v>138</v>
      </c>
      <c r="F850" s="17" t="s">
        <v>102</v>
      </c>
      <c r="G850" s="18" t="s">
        <v>294</v>
      </c>
      <c r="H850" s="17" t="s">
        <v>119</v>
      </c>
      <c r="I850" s="23" t="s">
        <v>200</v>
      </c>
      <c r="J850" s="21" t="s">
        <v>200</v>
      </c>
    </row>
    <row r="851" spans="1:10" ht="16" x14ac:dyDescent="0.2">
      <c r="A851" s="16" t="s">
        <v>1823</v>
      </c>
      <c r="B851" s="34">
        <v>43930</v>
      </c>
      <c r="C851" s="16">
        <v>8</v>
      </c>
      <c r="D851" s="17" t="str">
        <f>IF(C851="","",VLOOKUP(C851,'Objekt Aufstellung'!$A$2:$B$51,2))</f>
        <v>Schützenstraße 20</v>
      </c>
      <c r="E851" s="17" t="s">
        <v>1824</v>
      </c>
      <c r="F851" s="17" t="s">
        <v>17</v>
      </c>
      <c r="G851" s="18" t="s">
        <v>1825</v>
      </c>
      <c r="H851" s="17" t="s">
        <v>13</v>
      </c>
      <c r="I851" s="23" t="s">
        <v>411</v>
      </c>
      <c r="J851" s="21" t="s">
        <v>411</v>
      </c>
    </row>
    <row r="852" spans="1:10" ht="16" x14ac:dyDescent="0.2">
      <c r="A852" s="16" t="s">
        <v>1826</v>
      </c>
      <c r="B852" s="34">
        <v>43930</v>
      </c>
      <c r="C852" s="16">
        <v>8</v>
      </c>
      <c r="D852" s="17" t="str">
        <f>IF(C852="","",VLOOKUP(C852,'Objekt Aufstellung'!$A$2:$B$51,2))</f>
        <v>Schützenstraße 20</v>
      </c>
      <c r="E852" s="17" t="s">
        <v>1824</v>
      </c>
      <c r="F852" s="17" t="s">
        <v>17</v>
      </c>
      <c r="G852" s="18" t="s">
        <v>1405</v>
      </c>
      <c r="H852" s="17" t="s">
        <v>13</v>
      </c>
      <c r="I852" s="23" t="s">
        <v>960</v>
      </c>
      <c r="J852" s="21" t="s">
        <v>960</v>
      </c>
    </row>
    <row r="853" spans="1:10" ht="16" x14ac:dyDescent="0.2">
      <c r="A853" s="16" t="s">
        <v>1827</v>
      </c>
      <c r="B853" s="34">
        <v>43930</v>
      </c>
      <c r="C853" s="16">
        <v>8</v>
      </c>
      <c r="D853" s="17" t="str">
        <f>IF(C853="","",VLOOKUP(C853,'Objekt Aufstellung'!$A$2:$B$51,2))</f>
        <v>Schützenstraße 20</v>
      </c>
      <c r="E853" s="17" t="s">
        <v>1824</v>
      </c>
      <c r="F853" s="17" t="s">
        <v>17</v>
      </c>
      <c r="G853" s="18" t="s">
        <v>1828</v>
      </c>
      <c r="H853" s="17" t="s">
        <v>13</v>
      </c>
      <c r="I853" s="23" t="s">
        <v>119</v>
      </c>
      <c r="J853" s="21" t="s">
        <v>119</v>
      </c>
    </row>
    <row r="854" spans="1:10" ht="16" x14ac:dyDescent="0.2">
      <c r="A854" s="16" t="s">
        <v>1829</v>
      </c>
      <c r="B854" s="34">
        <v>43930</v>
      </c>
      <c r="C854" s="16">
        <v>8</v>
      </c>
      <c r="D854" s="17" t="str">
        <f>IF(C854="","",VLOOKUP(C854,'Objekt Aufstellung'!$A$2:$B$51,2))</f>
        <v>Schützenstraße 20</v>
      </c>
      <c r="E854" s="17" t="s">
        <v>1824</v>
      </c>
      <c r="F854" s="17" t="s">
        <v>17</v>
      </c>
      <c r="G854" s="18" t="s">
        <v>61</v>
      </c>
      <c r="H854" s="17" t="s">
        <v>13</v>
      </c>
      <c r="I854" s="23" t="s">
        <v>14</v>
      </c>
      <c r="J854" s="21" t="s">
        <v>14</v>
      </c>
    </row>
    <row r="855" spans="1:10" ht="16" x14ac:dyDescent="0.2">
      <c r="A855" s="16" t="s">
        <v>1830</v>
      </c>
      <c r="B855" s="34">
        <v>43935</v>
      </c>
      <c r="C855" s="16">
        <v>20</v>
      </c>
      <c r="D855" s="17" t="str">
        <f>IF(C855="","",VLOOKUP(C855,'Objekt Aufstellung'!$A$2:$B$51,2))</f>
        <v>Kranzstraße 103</v>
      </c>
      <c r="E855" s="17" t="s">
        <v>138</v>
      </c>
      <c r="F855" s="17" t="s">
        <v>102</v>
      </c>
      <c r="G855" s="18" t="s">
        <v>1831</v>
      </c>
      <c r="H855" s="17" t="s">
        <v>13</v>
      </c>
      <c r="I855" s="23" t="s">
        <v>14</v>
      </c>
      <c r="J855" s="21" t="s">
        <v>14</v>
      </c>
    </row>
    <row r="856" spans="1:10" ht="16" x14ac:dyDescent="0.2">
      <c r="A856" s="16" t="s">
        <v>1832</v>
      </c>
      <c r="B856" s="34">
        <v>43936</v>
      </c>
      <c r="C856" s="16">
        <v>19</v>
      </c>
      <c r="D856" s="17" t="str">
        <f>IF(C856="","",VLOOKUP(C856,'Objekt Aufstellung'!$A$2:$B$51,2))</f>
        <v>Alte Bachstraße 25</v>
      </c>
      <c r="E856" s="17" t="s">
        <v>1597</v>
      </c>
      <c r="F856" s="17" t="s">
        <v>673</v>
      </c>
      <c r="G856" s="18" t="s">
        <v>1511</v>
      </c>
      <c r="H856" s="17" t="s">
        <v>23</v>
      </c>
      <c r="I856" s="23" t="s">
        <v>14</v>
      </c>
      <c r="J856" s="21" t="s">
        <v>14</v>
      </c>
    </row>
    <row r="857" spans="1:10" ht="16" x14ac:dyDescent="0.2">
      <c r="A857" s="16" t="s">
        <v>1833</v>
      </c>
      <c r="B857" s="34">
        <v>43936</v>
      </c>
      <c r="C857" s="16">
        <v>31</v>
      </c>
      <c r="D857" s="17" t="str">
        <f>IF(C857="","",VLOOKUP(C857,'Objekt Aufstellung'!$A$2:$B$51,2))</f>
        <v>Angermunder Straße 30</v>
      </c>
      <c r="E857" s="17" t="s">
        <v>202</v>
      </c>
      <c r="F857" s="17" t="s">
        <v>1834</v>
      </c>
      <c r="G857" s="18" t="s">
        <v>1835</v>
      </c>
      <c r="H857" s="17" t="s">
        <v>13</v>
      </c>
      <c r="I857" s="23" t="s">
        <v>181</v>
      </c>
      <c r="J857" s="21" t="s">
        <v>181</v>
      </c>
    </row>
    <row r="858" spans="1:10" ht="16" x14ac:dyDescent="0.2">
      <c r="A858" s="16" t="s">
        <v>1836</v>
      </c>
      <c r="B858" s="34">
        <v>43936</v>
      </c>
      <c r="C858" s="16">
        <v>49</v>
      </c>
      <c r="D858" s="17" t="str">
        <f>IF(C858="","",VLOOKUP(C858,'Objekt Aufstellung'!$A$2:$B$51,2))</f>
        <v>Angermunder Straße 69</v>
      </c>
      <c r="E858" s="17" t="s">
        <v>36</v>
      </c>
      <c r="F858" s="17"/>
      <c r="G858" s="18" t="s">
        <v>1837</v>
      </c>
      <c r="H858" s="17" t="s">
        <v>13</v>
      </c>
      <c r="I858" s="23" t="s">
        <v>411</v>
      </c>
      <c r="J858" s="21" t="s">
        <v>411</v>
      </c>
    </row>
    <row r="859" spans="1:10" ht="16" x14ac:dyDescent="0.2">
      <c r="A859" s="16" t="s">
        <v>1838</v>
      </c>
      <c r="B859" s="34">
        <v>43937</v>
      </c>
      <c r="C859" s="16">
        <v>11</v>
      </c>
      <c r="D859" s="17" t="str">
        <f>IF(C859="","",VLOOKUP(C859,'Objekt Aufstellung'!$A$2:$B$51,2))</f>
        <v>Kölner Landstraße 261</v>
      </c>
      <c r="E859" s="17" t="s">
        <v>735</v>
      </c>
      <c r="F859" s="17" t="s">
        <v>302</v>
      </c>
      <c r="G859" s="18" t="s">
        <v>66</v>
      </c>
      <c r="H859" s="17" t="s">
        <v>58</v>
      </c>
      <c r="I859" s="23" t="s">
        <v>14</v>
      </c>
      <c r="J859" s="21" t="s">
        <v>14</v>
      </c>
    </row>
    <row r="860" spans="1:10" ht="16" x14ac:dyDescent="0.2">
      <c r="A860" s="16" t="s">
        <v>1839</v>
      </c>
      <c r="B860" s="34">
        <v>43938</v>
      </c>
      <c r="C860" s="16">
        <v>15</v>
      </c>
      <c r="D860" s="17" t="str">
        <f>IF(C860="","",VLOOKUP(C860,'Objekt Aufstellung'!$A$2:$B$51,2))</f>
        <v>Hoppengarten 15</v>
      </c>
      <c r="E860" s="17" t="s">
        <v>78</v>
      </c>
      <c r="F860" s="17"/>
      <c r="G860" s="18" t="s">
        <v>1840</v>
      </c>
      <c r="H860" s="17" t="s">
        <v>13</v>
      </c>
      <c r="I860" s="23" t="s">
        <v>960</v>
      </c>
      <c r="J860" s="21" t="s">
        <v>960</v>
      </c>
    </row>
    <row r="861" spans="1:10" ht="16" x14ac:dyDescent="0.2">
      <c r="A861" s="16" t="s">
        <v>1841</v>
      </c>
      <c r="B861" s="34">
        <v>43938</v>
      </c>
      <c r="C861" s="16">
        <v>12</v>
      </c>
      <c r="D861" s="17" t="str">
        <f>IF(C861="","",VLOOKUP(C861,'Objekt Aufstellung'!$A$2:$B$51,2))</f>
        <v>Merowingerstr. 17</v>
      </c>
      <c r="E861" s="17" t="s">
        <v>317</v>
      </c>
      <c r="F861" s="17" t="s">
        <v>1842</v>
      </c>
      <c r="G861" s="18" t="s">
        <v>1843</v>
      </c>
      <c r="H861" s="17" t="s">
        <v>13</v>
      </c>
      <c r="I861" s="23" t="s">
        <v>119</v>
      </c>
      <c r="J861" s="21" t="s">
        <v>119</v>
      </c>
    </row>
    <row r="862" spans="1:10" ht="16" x14ac:dyDescent="0.2">
      <c r="A862" s="16" t="s">
        <v>1844</v>
      </c>
      <c r="B862" s="34">
        <v>43941</v>
      </c>
      <c r="C862" s="16">
        <v>16</v>
      </c>
      <c r="D862" s="17" t="str">
        <f>IF(C862="","",VLOOKUP(C862,'Objekt Aufstellung'!$A$2:$B$51,2))</f>
        <v>Hoppengarten 17</v>
      </c>
      <c r="E862" s="17" t="s">
        <v>358</v>
      </c>
      <c r="F862" s="17" t="s">
        <v>1845</v>
      </c>
      <c r="G862" s="18" t="s">
        <v>1846</v>
      </c>
      <c r="H862" s="17" t="s">
        <v>13</v>
      </c>
      <c r="I862" s="23" t="s">
        <v>181</v>
      </c>
      <c r="J862" s="21" t="s">
        <v>181</v>
      </c>
    </row>
    <row r="863" spans="1:10" ht="16" x14ac:dyDescent="0.2">
      <c r="A863" s="16" t="s">
        <v>1847</v>
      </c>
      <c r="B863" s="34">
        <v>43941</v>
      </c>
      <c r="C863" s="16">
        <v>45</v>
      </c>
      <c r="D863" s="17" t="str">
        <f>IF(C863="","",VLOOKUP(C863,'Objekt Aufstellung'!$A$2:$B$51,2))</f>
        <v>Neumühler Straße 39</v>
      </c>
      <c r="E863" s="17" t="s">
        <v>27</v>
      </c>
      <c r="F863" s="17" t="s">
        <v>574</v>
      </c>
      <c r="G863" s="18" t="s">
        <v>1848</v>
      </c>
      <c r="H863" s="17" t="s">
        <v>13</v>
      </c>
      <c r="I863" s="23" t="s">
        <v>19</v>
      </c>
      <c r="J863" s="21"/>
    </row>
    <row r="864" spans="1:10" ht="16" x14ac:dyDescent="0.2">
      <c r="A864" s="16" t="s">
        <v>1849</v>
      </c>
      <c r="B864" s="34">
        <v>43941</v>
      </c>
      <c r="C864" s="16">
        <v>45</v>
      </c>
      <c r="D864" s="17" t="str">
        <f>IF(C864="","",VLOOKUP(C864,'Objekt Aufstellung'!$A$2:$B$51,2))</f>
        <v>Neumühler Straße 39</v>
      </c>
      <c r="E864" s="17" t="s">
        <v>637</v>
      </c>
      <c r="F864" s="17" t="s">
        <v>1850</v>
      </c>
      <c r="G864" s="18" t="s">
        <v>1848</v>
      </c>
      <c r="H864" s="17" t="s">
        <v>13</v>
      </c>
      <c r="I864" s="23" t="s">
        <v>19</v>
      </c>
      <c r="J864" s="21" t="s">
        <v>19</v>
      </c>
    </row>
    <row r="865" spans="1:10" ht="16" x14ac:dyDescent="0.2">
      <c r="A865" s="16" t="s">
        <v>1851</v>
      </c>
      <c r="B865" s="34">
        <v>43941</v>
      </c>
      <c r="C865" s="16">
        <v>45</v>
      </c>
      <c r="D865" s="17" t="str">
        <f>IF(C865="","",VLOOKUP(C865,'Objekt Aufstellung'!$A$2:$B$51,2))</f>
        <v>Neumühler Straße 39</v>
      </c>
      <c r="E865" s="17" t="s">
        <v>10</v>
      </c>
      <c r="F865" s="17" t="s">
        <v>1852</v>
      </c>
      <c r="G865" s="18" t="s">
        <v>1848</v>
      </c>
      <c r="H865" s="17" t="s">
        <v>13</v>
      </c>
      <c r="I865" s="23" t="s">
        <v>19</v>
      </c>
      <c r="J865" s="21" t="s">
        <v>19</v>
      </c>
    </row>
    <row r="866" spans="1:10" ht="16" x14ac:dyDescent="0.2">
      <c r="A866" s="16" t="s">
        <v>1853</v>
      </c>
      <c r="B866" s="34">
        <v>43943</v>
      </c>
      <c r="C866" s="16">
        <v>32</v>
      </c>
      <c r="D866" s="17" t="str">
        <f>IF(C866="","",VLOOKUP(C866,'Objekt Aufstellung'!$A$2:$B$51,2))</f>
        <v>Koppelskamp 5</v>
      </c>
      <c r="E866" s="17" t="s">
        <v>40</v>
      </c>
      <c r="F866" s="17" t="s">
        <v>1854</v>
      </c>
      <c r="G866" s="18" t="s">
        <v>1855</v>
      </c>
      <c r="H866" s="17" t="s">
        <v>13</v>
      </c>
      <c r="I866" s="23" t="s">
        <v>30</v>
      </c>
      <c r="J866" s="21" t="s">
        <v>30</v>
      </c>
    </row>
    <row r="867" spans="1:10" ht="16" x14ac:dyDescent="0.2">
      <c r="A867" s="16" t="s">
        <v>1856</v>
      </c>
      <c r="B867" s="34">
        <v>43943</v>
      </c>
      <c r="C867" s="16">
        <v>48</v>
      </c>
      <c r="D867" s="17" t="str">
        <f>IF(C867="","",VLOOKUP(C867,'Objekt Aufstellung'!$A$2:$B$51,2))</f>
        <v>Mendelsohnstraße 3</v>
      </c>
      <c r="E867" s="17" t="s">
        <v>263</v>
      </c>
      <c r="F867" s="17" t="s">
        <v>1857</v>
      </c>
      <c r="G867" s="18" t="s">
        <v>1161</v>
      </c>
      <c r="H867" s="17" t="s">
        <v>13</v>
      </c>
      <c r="I867" s="23" t="s">
        <v>200</v>
      </c>
      <c r="J867" s="21" t="s">
        <v>200</v>
      </c>
    </row>
    <row r="868" spans="1:10" ht="16" x14ac:dyDescent="0.2">
      <c r="A868" s="16" t="s">
        <v>1858</v>
      </c>
      <c r="B868" s="34">
        <v>43943</v>
      </c>
      <c r="C868" s="16">
        <v>19</v>
      </c>
      <c r="D868" s="17" t="str">
        <f>IF(C868="","",VLOOKUP(C868,'Objekt Aufstellung'!$A$2:$B$51,2))</f>
        <v>Alte Bachstraße 25</v>
      </c>
      <c r="E868" s="17" t="s">
        <v>1311</v>
      </c>
      <c r="F868" s="17" t="s">
        <v>1312</v>
      </c>
      <c r="G868" s="18" t="s">
        <v>581</v>
      </c>
      <c r="H868" s="17" t="s">
        <v>23</v>
      </c>
      <c r="I868" s="23" t="s">
        <v>14</v>
      </c>
      <c r="J868" s="21" t="s">
        <v>114</v>
      </c>
    </row>
    <row r="869" spans="1:10" ht="16" x14ac:dyDescent="0.2">
      <c r="A869" s="16" t="s">
        <v>1859</v>
      </c>
      <c r="B869" s="34">
        <v>43948</v>
      </c>
      <c r="C869" s="16">
        <v>21</v>
      </c>
      <c r="D869" s="17" t="str">
        <f>IF(C869="","",VLOOKUP(C869,'Objekt Aufstellung'!$A$2:$B$51,2))</f>
        <v>Broicherdorfstraße 3</v>
      </c>
      <c r="E869" s="17" t="s">
        <v>467</v>
      </c>
      <c r="F869" s="17" t="s">
        <v>1691</v>
      </c>
      <c r="G869" s="18" t="s">
        <v>1860</v>
      </c>
      <c r="H869" s="17" t="s">
        <v>13</v>
      </c>
      <c r="I869" s="23" t="s">
        <v>200</v>
      </c>
      <c r="J869" s="21" t="s">
        <v>200</v>
      </c>
    </row>
    <row r="870" spans="1:10" ht="16" x14ac:dyDescent="0.2">
      <c r="A870" s="16" t="s">
        <v>1861</v>
      </c>
      <c r="B870" s="34">
        <v>43948</v>
      </c>
      <c r="C870" s="16">
        <v>48</v>
      </c>
      <c r="D870" s="17" t="str">
        <f>IF(C870="","",VLOOKUP(C870,'Objekt Aufstellung'!$A$2:$B$51,2))</f>
        <v>Mendelsohnstraße 3</v>
      </c>
      <c r="E870" s="17" t="s">
        <v>1862</v>
      </c>
      <c r="F870" s="17" t="s">
        <v>1863</v>
      </c>
      <c r="G870" s="18" t="s">
        <v>1864</v>
      </c>
      <c r="H870" s="17" t="s">
        <v>13</v>
      </c>
      <c r="I870" s="23" t="s">
        <v>119</v>
      </c>
      <c r="J870" s="21" t="s">
        <v>119</v>
      </c>
    </row>
    <row r="871" spans="1:10" ht="32" x14ac:dyDescent="0.2">
      <c r="A871" s="16" t="s">
        <v>1865</v>
      </c>
      <c r="B871" s="34">
        <v>43949</v>
      </c>
      <c r="C871" s="16">
        <v>21</v>
      </c>
      <c r="D871" s="17" t="str">
        <f>IF(C871="","",VLOOKUP(C871,'Objekt Aufstellung'!$A$2:$B$51,2))</f>
        <v>Broicherdorfstraße 3</v>
      </c>
      <c r="E871" s="17" t="s">
        <v>467</v>
      </c>
      <c r="F871" s="17" t="s">
        <v>1691</v>
      </c>
      <c r="G871" s="18" t="s">
        <v>1866</v>
      </c>
      <c r="H871" s="17" t="s">
        <v>13</v>
      </c>
      <c r="I871" s="23" t="s">
        <v>914</v>
      </c>
      <c r="J871" s="21" t="s">
        <v>914</v>
      </c>
    </row>
    <row r="872" spans="1:10" ht="32" x14ac:dyDescent="0.2">
      <c r="A872" s="16" t="s">
        <v>1867</v>
      </c>
      <c r="B872" s="34">
        <v>43949</v>
      </c>
      <c r="C872" s="16">
        <v>17</v>
      </c>
      <c r="D872" s="17" t="str">
        <f>IF(C872="","",VLOOKUP(C872,'Objekt Aufstellung'!$A$2:$B$51,2))</f>
        <v>Kölner Straße 215</v>
      </c>
      <c r="E872" s="17" t="s">
        <v>1026</v>
      </c>
      <c r="F872" s="17" t="s">
        <v>1868</v>
      </c>
      <c r="G872" s="18" t="s">
        <v>1869</v>
      </c>
      <c r="H872" s="17" t="s">
        <v>23</v>
      </c>
      <c r="I872" s="23" t="s">
        <v>14</v>
      </c>
      <c r="J872" s="21" t="s">
        <v>14</v>
      </c>
    </row>
    <row r="873" spans="1:10" ht="16" x14ac:dyDescent="0.2">
      <c r="A873" s="16" t="s">
        <v>1870</v>
      </c>
      <c r="B873" s="34">
        <v>43949</v>
      </c>
      <c r="C873" s="16">
        <v>48</v>
      </c>
      <c r="D873" s="17" t="str">
        <f>IF(C873="","",VLOOKUP(C873,'Objekt Aufstellung'!$A$2:$B$51,2))</f>
        <v>Mendelsohnstraße 3</v>
      </c>
      <c r="E873" s="17" t="s">
        <v>358</v>
      </c>
      <c r="F873" s="17" t="s">
        <v>1871</v>
      </c>
      <c r="G873" s="18" t="s">
        <v>1872</v>
      </c>
      <c r="H873" s="17" t="s">
        <v>13</v>
      </c>
      <c r="I873" s="23" t="s">
        <v>181</v>
      </c>
      <c r="J873" s="21" t="s">
        <v>181</v>
      </c>
    </row>
    <row r="874" spans="1:10" ht="16" x14ac:dyDescent="0.2">
      <c r="A874" s="16" t="s">
        <v>1873</v>
      </c>
      <c r="B874" s="34">
        <v>43955</v>
      </c>
      <c r="C874" s="16">
        <v>9</v>
      </c>
      <c r="D874" s="17" t="str">
        <f>IF(C874="","",VLOOKUP(C874,'Objekt Aufstellung'!$A$2:$B$51,2))</f>
        <v>Stockkampstraße 47</v>
      </c>
      <c r="E874" s="17" t="s">
        <v>202</v>
      </c>
      <c r="F874" s="17" t="s">
        <v>1874</v>
      </c>
      <c r="G874" s="18" t="s">
        <v>294</v>
      </c>
      <c r="H874" s="17" t="s">
        <v>13</v>
      </c>
      <c r="I874" s="23" t="s">
        <v>181</v>
      </c>
      <c r="J874" s="21"/>
    </row>
    <row r="875" spans="1:10" ht="16" x14ac:dyDescent="0.2">
      <c r="A875" s="16" t="s">
        <v>1875</v>
      </c>
      <c r="B875" s="34">
        <v>43955</v>
      </c>
      <c r="C875" s="16">
        <v>17</v>
      </c>
      <c r="D875" s="17" t="str">
        <f>IF(C875="","",VLOOKUP(C875,'Objekt Aufstellung'!$A$2:$B$51,2))</f>
        <v>Kölner Straße 215</v>
      </c>
      <c r="E875" s="17" t="s">
        <v>16</v>
      </c>
      <c r="F875" s="17" t="s">
        <v>1876</v>
      </c>
      <c r="G875" s="18" t="s">
        <v>1877</v>
      </c>
      <c r="H875" s="17" t="s">
        <v>13</v>
      </c>
      <c r="I875" s="23" t="s">
        <v>181</v>
      </c>
      <c r="J875" s="21" t="s">
        <v>181</v>
      </c>
    </row>
    <row r="876" spans="1:10" ht="16" x14ac:dyDescent="0.2">
      <c r="A876" s="16" t="s">
        <v>1878</v>
      </c>
      <c r="B876" s="34">
        <v>43955</v>
      </c>
      <c r="C876" s="16">
        <v>2</v>
      </c>
      <c r="D876" s="17" t="str">
        <f>IF(C876="","",VLOOKUP(C876,'Objekt Aufstellung'!$A$2:$B$51,2))</f>
        <v>Pfalzstraße 17</v>
      </c>
      <c r="E876" s="17" t="s">
        <v>10</v>
      </c>
      <c r="F876" s="17" t="s">
        <v>1879</v>
      </c>
      <c r="G876" s="18" t="s">
        <v>1880</v>
      </c>
      <c r="H876" s="17" t="s">
        <v>13</v>
      </c>
      <c r="I876" s="23" t="s">
        <v>136</v>
      </c>
      <c r="J876" s="21" t="s">
        <v>136</v>
      </c>
    </row>
    <row r="877" spans="1:10" ht="16" x14ac:dyDescent="0.2">
      <c r="A877" s="16" t="s">
        <v>1881</v>
      </c>
      <c r="B877" s="34">
        <v>43955</v>
      </c>
      <c r="C877" s="16">
        <v>36</v>
      </c>
      <c r="D877" s="17" t="str">
        <f>IF(C877="","",VLOOKUP(C877,'Objekt Aufstellung'!$A$2:$B$51,2))</f>
        <v>Lintorfer Waldstraße 8</v>
      </c>
      <c r="E877" s="17" t="s">
        <v>1513</v>
      </c>
      <c r="F877" s="17"/>
      <c r="G877" s="18" t="s">
        <v>1882</v>
      </c>
      <c r="H877" s="17" t="s">
        <v>13</v>
      </c>
      <c r="I877" s="23" t="s">
        <v>952</v>
      </c>
      <c r="J877" s="21"/>
    </row>
    <row r="878" spans="1:10" ht="16" x14ac:dyDescent="0.2">
      <c r="A878" s="16" t="s">
        <v>1883</v>
      </c>
      <c r="B878" s="34">
        <v>43955</v>
      </c>
      <c r="C878" s="16">
        <v>4</v>
      </c>
      <c r="D878" s="17" t="str">
        <f>IF(C878="","",VLOOKUP(C878,'Objekt Aufstellung'!$A$2:$B$51,2))</f>
        <v>Neanderstraße 15</v>
      </c>
      <c r="E878" s="17" t="s">
        <v>10</v>
      </c>
      <c r="F878" s="17" t="s">
        <v>1884</v>
      </c>
      <c r="G878" s="18" t="s">
        <v>1885</v>
      </c>
      <c r="H878" s="17" t="s">
        <v>13</v>
      </c>
      <c r="I878" s="23" t="s">
        <v>48</v>
      </c>
      <c r="J878" s="21" t="s">
        <v>48</v>
      </c>
    </row>
    <row r="879" spans="1:10" ht="16" x14ac:dyDescent="0.2">
      <c r="A879" s="16" t="s">
        <v>1886</v>
      </c>
      <c r="B879" s="34">
        <v>43955</v>
      </c>
      <c r="C879" s="16">
        <v>36</v>
      </c>
      <c r="D879" s="17" t="str">
        <f>IF(C879="","",VLOOKUP(C879,'Objekt Aufstellung'!$A$2:$B$51,2))</f>
        <v>Lintorfer Waldstraße 8</v>
      </c>
      <c r="E879" s="17" t="s">
        <v>202</v>
      </c>
      <c r="F879" s="17" t="s">
        <v>1887</v>
      </c>
      <c r="G879" s="18" t="s">
        <v>1888</v>
      </c>
      <c r="H879" s="17" t="s">
        <v>13</v>
      </c>
      <c r="I879" s="23" t="s">
        <v>14</v>
      </c>
      <c r="J879" s="21"/>
    </row>
    <row r="880" spans="1:10" ht="16" x14ac:dyDescent="0.2">
      <c r="A880" s="16" t="s">
        <v>1889</v>
      </c>
      <c r="B880" s="34">
        <v>43956</v>
      </c>
      <c r="C880" s="16">
        <v>9</v>
      </c>
      <c r="D880" s="17" t="str">
        <f>IF(C880="","",VLOOKUP(C880,'Objekt Aufstellung'!$A$2:$B$51,2))</f>
        <v>Stockkampstraße 47</v>
      </c>
      <c r="E880" s="17" t="s">
        <v>202</v>
      </c>
      <c r="F880" s="17" t="s">
        <v>1874</v>
      </c>
      <c r="G880" s="18" t="s">
        <v>1890</v>
      </c>
      <c r="H880" s="17" t="s">
        <v>13</v>
      </c>
      <c r="I880" s="23" t="s">
        <v>119</v>
      </c>
      <c r="J880" s="21" t="s">
        <v>119</v>
      </c>
    </row>
    <row r="881" spans="1:10" ht="16" x14ac:dyDescent="0.2">
      <c r="A881" s="16" t="s">
        <v>1891</v>
      </c>
      <c r="B881" s="34">
        <v>43956</v>
      </c>
      <c r="C881" s="16">
        <v>1</v>
      </c>
      <c r="D881" s="17" t="str">
        <f>IF(C881="","",VLOOKUP(C881,'Objekt Aufstellung'!$A$2:$B$51,2))</f>
        <v>Roßstraße 9</v>
      </c>
      <c r="E881" s="17" t="s">
        <v>693</v>
      </c>
      <c r="F881" s="17" t="s">
        <v>1892</v>
      </c>
      <c r="G881" s="18" t="s">
        <v>1893</v>
      </c>
      <c r="H881" s="17" t="s">
        <v>13</v>
      </c>
      <c r="I881" s="23" t="s">
        <v>119</v>
      </c>
      <c r="J881" s="21" t="s">
        <v>119</v>
      </c>
    </row>
    <row r="882" spans="1:10" ht="16" x14ac:dyDescent="0.2">
      <c r="A882" s="16" t="s">
        <v>1894</v>
      </c>
      <c r="B882" s="34">
        <v>43956</v>
      </c>
      <c r="C882" s="16">
        <v>1</v>
      </c>
      <c r="D882" s="17" t="str">
        <f>IF(C882="","",VLOOKUP(C882,'Objekt Aufstellung'!$A$2:$B$51,2))</f>
        <v>Roßstraße 9</v>
      </c>
      <c r="E882" s="17" t="s">
        <v>693</v>
      </c>
      <c r="F882" s="17" t="s">
        <v>1892</v>
      </c>
      <c r="G882" s="18" t="s">
        <v>1895</v>
      </c>
      <c r="H882" s="17" t="s">
        <v>13</v>
      </c>
      <c r="I882" s="36" t="s">
        <v>19</v>
      </c>
      <c r="J882" s="21" t="s">
        <v>19</v>
      </c>
    </row>
    <row r="883" spans="1:10" ht="16" x14ac:dyDescent="0.2">
      <c r="A883" s="16" t="s">
        <v>1896</v>
      </c>
      <c r="B883" s="34">
        <v>43956</v>
      </c>
      <c r="C883" s="16">
        <v>24</v>
      </c>
      <c r="D883" s="17" t="str">
        <f>IF(C883="","",VLOOKUP(C883,'Objekt Aufstellung'!$A$2:$B$51,2))</f>
        <v>Angerbenden 31</v>
      </c>
      <c r="E883" s="17" t="s">
        <v>467</v>
      </c>
      <c r="F883" s="17" t="s">
        <v>1897</v>
      </c>
      <c r="G883" s="18" t="s">
        <v>1898</v>
      </c>
      <c r="H883" s="17" t="s">
        <v>13</v>
      </c>
      <c r="I883" s="23" t="s">
        <v>181</v>
      </c>
      <c r="J883" s="21"/>
    </row>
    <row r="884" spans="1:10" ht="16" x14ac:dyDescent="0.2">
      <c r="A884" s="16" t="s">
        <v>1899</v>
      </c>
      <c r="B884" s="34">
        <v>43956</v>
      </c>
      <c r="C884" s="16">
        <v>4</v>
      </c>
      <c r="D884" s="17" t="str">
        <f>IF(C884="","",VLOOKUP(C884,'Objekt Aufstellung'!$A$2:$B$51,2))</f>
        <v>Neanderstraße 15</v>
      </c>
      <c r="E884" s="17" t="s">
        <v>693</v>
      </c>
      <c r="F884" s="17" t="s">
        <v>1665</v>
      </c>
      <c r="G884" s="18" t="s">
        <v>1900</v>
      </c>
      <c r="H884" s="17" t="s">
        <v>13</v>
      </c>
      <c r="I884" s="23" t="s">
        <v>181</v>
      </c>
      <c r="J884" s="21" t="s">
        <v>181</v>
      </c>
    </row>
    <row r="885" spans="1:10" ht="16" x14ac:dyDescent="0.2">
      <c r="A885" s="16" t="s">
        <v>1901</v>
      </c>
      <c r="B885" s="34">
        <v>43956</v>
      </c>
      <c r="C885" s="16">
        <v>4</v>
      </c>
      <c r="D885" s="17" t="str">
        <f>IF(C885="","",VLOOKUP(C885,'Objekt Aufstellung'!$A$2:$B$51,2))</f>
        <v>Neanderstraße 15</v>
      </c>
      <c r="E885" s="17" t="s">
        <v>178</v>
      </c>
      <c r="F885" s="17" t="s">
        <v>1902</v>
      </c>
      <c r="G885" s="18" t="s">
        <v>1903</v>
      </c>
      <c r="H885" s="17" t="s">
        <v>13</v>
      </c>
      <c r="I885" s="23" t="s">
        <v>181</v>
      </c>
      <c r="J885" s="21" t="s">
        <v>181</v>
      </c>
    </row>
    <row r="886" spans="1:10" ht="16" x14ac:dyDescent="0.2">
      <c r="A886" s="16" t="s">
        <v>1904</v>
      </c>
      <c r="B886" s="34">
        <v>43956</v>
      </c>
      <c r="C886" s="16">
        <v>1</v>
      </c>
      <c r="D886" s="17" t="str">
        <f>IF(C886="","",VLOOKUP(C886,'Objekt Aufstellung'!$A$2:$B$51,2))</f>
        <v>Roßstraße 9</v>
      </c>
      <c r="E886" s="17" t="s">
        <v>358</v>
      </c>
      <c r="F886" s="17" t="s">
        <v>1905</v>
      </c>
      <c r="G886" s="18" t="s">
        <v>1906</v>
      </c>
      <c r="H886" s="17" t="s">
        <v>13</v>
      </c>
      <c r="I886" s="23" t="s">
        <v>14</v>
      </c>
      <c r="J886" s="21" t="s">
        <v>14</v>
      </c>
    </row>
    <row r="887" spans="1:10" ht="16" x14ac:dyDescent="0.2">
      <c r="A887" s="16" t="s">
        <v>1907</v>
      </c>
      <c r="B887" s="34">
        <v>43958</v>
      </c>
      <c r="C887" s="16">
        <v>32</v>
      </c>
      <c r="D887" s="17" t="str">
        <f>IF(C887="","",VLOOKUP(C887,'Objekt Aufstellung'!$A$2:$B$51,2))</f>
        <v>Koppelskamp 5</v>
      </c>
      <c r="E887" s="17" t="s">
        <v>138</v>
      </c>
      <c r="F887" s="17" t="s">
        <v>1021</v>
      </c>
      <c r="G887" s="18" t="s">
        <v>1908</v>
      </c>
      <c r="H887" s="17" t="s">
        <v>13</v>
      </c>
      <c r="I887" s="23" t="s">
        <v>14</v>
      </c>
      <c r="J887" s="21" t="s">
        <v>14</v>
      </c>
    </row>
    <row r="888" spans="1:10" ht="16" x14ac:dyDescent="0.2">
      <c r="A888" s="16" t="s">
        <v>1909</v>
      </c>
      <c r="B888" s="34">
        <v>43958</v>
      </c>
      <c r="C888" s="16">
        <v>48</v>
      </c>
      <c r="D888" s="17" t="str">
        <f>IF(C888="","",VLOOKUP(C888,'Objekt Aufstellung'!$A$2:$B$51,2))</f>
        <v>Mendelsohnstraße 3</v>
      </c>
      <c r="E888" s="17" t="s">
        <v>399</v>
      </c>
      <c r="F888" s="17"/>
      <c r="G888" s="18" t="s">
        <v>1910</v>
      </c>
      <c r="H888" s="17" t="s">
        <v>13</v>
      </c>
      <c r="I888" s="23" t="s">
        <v>14</v>
      </c>
      <c r="J888" s="21" t="s">
        <v>14</v>
      </c>
    </row>
    <row r="889" spans="1:10" ht="16" x14ac:dyDescent="0.2">
      <c r="A889" s="16" t="s">
        <v>1911</v>
      </c>
      <c r="B889" s="34">
        <v>43962</v>
      </c>
      <c r="C889" s="16">
        <v>35</v>
      </c>
      <c r="D889" s="17" t="str">
        <f>IF(C889="","",VLOOKUP(C889,'Objekt Aufstellung'!$A$2:$B$51,2))</f>
        <v>Lintorfer Waldstraße 6</v>
      </c>
      <c r="E889" s="17" t="s">
        <v>78</v>
      </c>
      <c r="F889" s="17"/>
      <c r="G889" s="18" t="s">
        <v>1912</v>
      </c>
      <c r="H889" s="17" t="s">
        <v>13</v>
      </c>
      <c r="I889" s="23" t="s">
        <v>909</v>
      </c>
      <c r="J889" s="21" t="s">
        <v>909</v>
      </c>
    </row>
    <row r="890" spans="1:10" ht="16" x14ac:dyDescent="0.2">
      <c r="A890" s="16" t="s">
        <v>1913</v>
      </c>
      <c r="B890" s="34">
        <v>43962</v>
      </c>
      <c r="C890" s="16">
        <v>3</v>
      </c>
      <c r="D890" s="17" t="str">
        <f>IF(C890="","",VLOOKUP(C890,'Objekt Aufstellung'!$A$2:$B$51,2))</f>
        <v xml:space="preserve"> Schloßstraße 19</v>
      </c>
      <c r="E890" s="17" t="s">
        <v>344</v>
      </c>
      <c r="F890" s="17" t="s">
        <v>1914</v>
      </c>
      <c r="G890" s="18" t="s">
        <v>1915</v>
      </c>
      <c r="H890" s="17" t="s">
        <v>13</v>
      </c>
      <c r="I890" s="23" t="s">
        <v>14</v>
      </c>
      <c r="J890" s="21" t="s">
        <v>14</v>
      </c>
    </row>
    <row r="891" spans="1:10" ht="16" x14ac:dyDescent="0.2">
      <c r="A891" s="16" t="s">
        <v>1916</v>
      </c>
      <c r="B891" s="34">
        <v>43962</v>
      </c>
      <c r="C891" s="16">
        <v>19</v>
      </c>
      <c r="D891" s="17" t="str">
        <f>IF(C891="","",VLOOKUP(C891,'Objekt Aufstellung'!$A$2:$B$51,2))</f>
        <v>Alte Bachstraße 25</v>
      </c>
      <c r="E891" s="17" t="s">
        <v>165</v>
      </c>
      <c r="F891" s="17"/>
      <c r="G891" s="18" t="s">
        <v>1917</v>
      </c>
      <c r="H891" s="17" t="s">
        <v>13</v>
      </c>
      <c r="I891" s="23" t="s">
        <v>167</v>
      </c>
      <c r="J891" s="21" t="s">
        <v>167</v>
      </c>
    </row>
    <row r="892" spans="1:10" ht="16" x14ac:dyDescent="0.2">
      <c r="A892" s="16" t="s">
        <v>1918</v>
      </c>
      <c r="B892" s="34">
        <v>43962</v>
      </c>
      <c r="C892" s="16">
        <v>4</v>
      </c>
      <c r="D892" s="17" t="str">
        <f>IF(C892="","",VLOOKUP(C892,'Objekt Aufstellung'!$A$2:$B$51,2))</f>
        <v>Neanderstraße 15</v>
      </c>
      <c r="E892" s="17" t="s">
        <v>358</v>
      </c>
      <c r="F892" s="17" t="s">
        <v>1919</v>
      </c>
      <c r="G892" s="18" t="s">
        <v>1920</v>
      </c>
      <c r="H892" s="17" t="s">
        <v>13</v>
      </c>
      <c r="I892" s="23" t="s">
        <v>14</v>
      </c>
      <c r="J892" s="21" t="s">
        <v>14</v>
      </c>
    </row>
    <row r="893" spans="1:10" ht="16" x14ac:dyDescent="0.2">
      <c r="A893" s="16" t="s">
        <v>1921</v>
      </c>
      <c r="B893" s="34">
        <v>43962</v>
      </c>
      <c r="C893" s="16">
        <v>9</v>
      </c>
      <c r="D893" s="17" t="str">
        <f>IF(C893="","",VLOOKUP(C893,'Objekt Aufstellung'!$A$2:$B$51,2))</f>
        <v>Stockkampstraße 47</v>
      </c>
      <c r="E893" s="17" t="s">
        <v>740</v>
      </c>
      <c r="F893" s="17" t="s">
        <v>1438</v>
      </c>
      <c r="G893" s="18" t="s">
        <v>1922</v>
      </c>
      <c r="H893" s="17" t="s">
        <v>13</v>
      </c>
      <c r="I893" s="21" t="s">
        <v>312</v>
      </c>
      <c r="J893" s="21" t="s">
        <v>312</v>
      </c>
    </row>
    <row r="894" spans="1:10" ht="16" x14ac:dyDescent="0.2">
      <c r="A894" s="16" t="s">
        <v>1923</v>
      </c>
      <c r="B894" s="34">
        <v>43962</v>
      </c>
      <c r="C894" s="16">
        <v>21</v>
      </c>
      <c r="D894" s="17" t="str">
        <f>IF(C894="","",VLOOKUP(C894,'Objekt Aufstellung'!$A$2:$B$51,2))</f>
        <v>Broicherdorfstraße 3</v>
      </c>
      <c r="E894" s="17" t="s">
        <v>467</v>
      </c>
      <c r="F894" s="17" t="s">
        <v>1691</v>
      </c>
      <c r="G894" s="18" t="s">
        <v>1924</v>
      </c>
      <c r="H894" s="17" t="s">
        <v>13</v>
      </c>
      <c r="I894" s="23" t="s">
        <v>914</v>
      </c>
      <c r="J894" s="21" t="s">
        <v>914</v>
      </c>
    </row>
    <row r="895" spans="1:10" ht="16" x14ac:dyDescent="0.2">
      <c r="A895" s="16" t="s">
        <v>1925</v>
      </c>
      <c r="B895" s="34">
        <v>43963</v>
      </c>
      <c r="C895" s="16">
        <v>18</v>
      </c>
      <c r="D895" s="17" t="str">
        <f>IF(C895="","",VLOOKUP(C895,'Objekt Aufstellung'!$A$2:$B$51,2))</f>
        <v>Kölner Straße 217</v>
      </c>
      <c r="E895" s="17" t="s">
        <v>467</v>
      </c>
      <c r="F895" s="17" t="s">
        <v>1926</v>
      </c>
      <c r="G895" s="18" t="s">
        <v>1927</v>
      </c>
      <c r="H895" s="17" t="s">
        <v>13</v>
      </c>
      <c r="I895" s="23" t="s">
        <v>14</v>
      </c>
      <c r="J895" s="21" t="s">
        <v>14</v>
      </c>
    </row>
    <row r="896" spans="1:10" ht="16" x14ac:dyDescent="0.2">
      <c r="A896" s="16" t="s">
        <v>1928</v>
      </c>
      <c r="B896" s="34">
        <v>43963</v>
      </c>
      <c r="C896" s="16">
        <v>48</v>
      </c>
      <c r="D896" s="17" t="str">
        <f>IF(C896="","",VLOOKUP(C896,'Objekt Aufstellung'!$A$2:$B$51,2))</f>
        <v>Mendelsohnstraße 3</v>
      </c>
      <c r="E896" s="17" t="s">
        <v>202</v>
      </c>
      <c r="F896" s="17" t="s">
        <v>1929</v>
      </c>
      <c r="G896" s="18" t="s">
        <v>1930</v>
      </c>
      <c r="H896" s="17" t="s">
        <v>13</v>
      </c>
      <c r="I896" s="23" t="s">
        <v>14</v>
      </c>
      <c r="J896" s="21" t="s">
        <v>14</v>
      </c>
    </row>
    <row r="897" spans="1:10" ht="16" x14ac:dyDescent="0.2">
      <c r="A897" s="16" t="s">
        <v>1931</v>
      </c>
      <c r="B897" s="34">
        <v>43964</v>
      </c>
      <c r="C897" s="16">
        <v>20</v>
      </c>
      <c r="D897" s="17" t="str">
        <f>IF(C897="","",VLOOKUP(C897,'Objekt Aufstellung'!$A$2:$B$51,2))</f>
        <v>Kranzstraße 103</v>
      </c>
      <c r="E897" s="17" t="s">
        <v>1932</v>
      </c>
      <c r="F897" s="17" t="s">
        <v>481</v>
      </c>
      <c r="G897" s="18" t="s">
        <v>1933</v>
      </c>
      <c r="H897" s="17" t="s">
        <v>13</v>
      </c>
      <c r="I897" s="23" t="s">
        <v>104</v>
      </c>
      <c r="J897" s="21" t="s">
        <v>104</v>
      </c>
    </row>
    <row r="898" spans="1:10" ht="16" x14ac:dyDescent="0.2">
      <c r="A898" s="16" t="s">
        <v>1934</v>
      </c>
      <c r="B898" s="34">
        <v>43964</v>
      </c>
      <c r="C898" s="16">
        <v>13</v>
      </c>
      <c r="D898" s="17" t="str">
        <f>IF(C898="","",VLOOKUP(C898,'Objekt Aufstellung'!$A$2:$B$51,2))</f>
        <v>Borsigstraße 7</v>
      </c>
      <c r="E898" s="17" t="s">
        <v>16</v>
      </c>
      <c r="F898" s="17" t="s">
        <v>1935</v>
      </c>
      <c r="G898" s="18" t="s">
        <v>1936</v>
      </c>
      <c r="H898" s="17" t="s">
        <v>13</v>
      </c>
      <c r="I898" s="23" t="s">
        <v>181</v>
      </c>
      <c r="J898" s="23" t="s">
        <v>181</v>
      </c>
    </row>
    <row r="899" spans="1:10" ht="16" x14ac:dyDescent="0.2">
      <c r="A899" s="16" t="s">
        <v>1937</v>
      </c>
      <c r="B899" s="34">
        <v>43965</v>
      </c>
      <c r="C899" s="16">
        <v>4</v>
      </c>
      <c r="D899" s="17" t="str">
        <f>IF(C899="","",VLOOKUP(C899,'Objekt Aufstellung'!$A$2:$B$51,2))</f>
        <v>Neanderstraße 15</v>
      </c>
      <c r="E899" s="17" t="s">
        <v>10</v>
      </c>
      <c r="F899" s="17" t="s">
        <v>1884</v>
      </c>
      <c r="G899" s="18" t="s">
        <v>1938</v>
      </c>
      <c r="H899" s="17" t="s">
        <v>13</v>
      </c>
      <c r="I899" s="23" t="s">
        <v>19</v>
      </c>
      <c r="J899" s="21" t="s">
        <v>19</v>
      </c>
    </row>
    <row r="900" spans="1:10" ht="16" x14ac:dyDescent="0.2">
      <c r="A900" s="16" t="s">
        <v>1939</v>
      </c>
      <c r="B900" s="34">
        <v>43965</v>
      </c>
      <c r="C900" s="16">
        <v>4</v>
      </c>
      <c r="D900" s="17" t="str">
        <f>IF(C900="","",VLOOKUP(C900,'Objekt Aufstellung'!$A$2:$B$51,2))</f>
        <v>Neanderstraße 15</v>
      </c>
      <c r="E900" s="17" t="s">
        <v>637</v>
      </c>
      <c r="F900" s="17" t="s">
        <v>1940</v>
      </c>
      <c r="G900" s="18" t="s">
        <v>1941</v>
      </c>
      <c r="H900" s="17" t="s">
        <v>13</v>
      </c>
      <c r="I900" s="23" t="s">
        <v>19</v>
      </c>
      <c r="J900" s="21" t="s">
        <v>19</v>
      </c>
    </row>
    <row r="901" spans="1:10" ht="16" x14ac:dyDescent="0.2">
      <c r="A901" s="16" t="s">
        <v>1942</v>
      </c>
      <c r="B901" s="34">
        <v>43970</v>
      </c>
      <c r="C901" s="16">
        <v>21</v>
      </c>
      <c r="D901" s="17" t="str">
        <f>IF(C901="","",VLOOKUP(C901,'Objekt Aufstellung'!$A$2:$B$51,2))</f>
        <v>Broicherdorfstraße 3</v>
      </c>
      <c r="E901" s="17" t="s">
        <v>467</v>
      </c>
      <c r="F901" s="17" t="s">
        <v>1691</v>
      </c>
      <c r="G901" s="18" t="s">
        <v>1943</v>
      </c>
      <c r="H901" s="17" t="s">
        <v>13</v>
      </c>
      <c r="I901" s="23" t="s">
        <v>19</v>
      </c>
      <c r="J901" s="21" t="s">
        <v>19</v>
      </c>
    </row>
    <row r="902" spans="1:10" x14ac:dyDescent="0.2">
      <c r="A902" s="16" t="s">
        <v>1944</v>
      </c>
      <c r="B902" s="34">
        <v>43970</v>
      </c>
      <c r="C902" s="16">
        <v>42</v>
      </c>
      <c r="D902" s="17" t="str">
        <f>IF(C902="","",VLOOKUP(C902,'Objekt Aufstellung'!$A$2:$B$51,2))</f>
        <v>Metzer Straße 17</v>
      </c>
      <c r="E902" s="17" t="s">
        <v>10</v>
      </c>
      <c r="F902" s="17" t="s">
        <v>968</v>
      </c>
      <c r="G902" s="46" t="s">
        <v>1150</v>
      </c>
      <c r="H902" s="17" t="s">
        <v>13</v>
      </c>
      <c r="I902" s="21" t="s">
        <v>423</v>
      </c>
      <c r="J902" s="21" t="s">
        <v>423</v>
      </c>
    </row>
    <row r="903" spans="1:10" ht="16" x14ac:dyDescent="0.2">
      <c r="A903" s="16" t="s">
        <v>1945</v>
      </c>
      <c r="B903" s="34">
        <v>43976</v>
      </c>
      <c r="C903" s="16">
        <v>24</v>
      </c>
      <c r="D903" s="17" t="str">
        <f>IF(C903="","",VLOOKUP(C903,'Objekt Aufstellung'!$A$2:$B$51,2))</f>
        <v>Angerbenden 31</v>
      </c>
      <c r="E903" s="17" t="s">
        <v>138</v>
      </c>
      <c r="F903" s="17" t="s">
        <v>1946</v>
      </c>
      <c r="G903" s="18" t="s">
        <v>1947</v>
      </c>
      <c r="H903" s="17" t="s">
        <v>13</v>
      </c>
      <c r="I903" s="21" t="s">
        <v>30</v>
      </c>
      <c r="J903" s="21" t="s">
        <v>30</v>
      </c>
    </row>
    <row r="904" spans="1:10" ht="16" x14ac:dyDescent="0.2">
      <c r="A904" s="16" t="s">
        <v>1948</v>
      </c>
      <c r="B904" s="34">
        <v>43970</v>
      </c>
      <c r="C904" s="16">
        <v>4</v>
      </c>
      <c r="D904" s="17" t="str">
        <f>IF(C904="","",VLOOKUP(C904,'Objekt Aufstellung'!$A$2:$B$51,2))</f>
        <v>Neanderstraße 15</v>
      </c>
      <c r="E904" s="17" t="s">
        <v>10</v>
      </c>
      <c r="F904" s="17" t="s">
        <v>1940</v>
      </c>
      <c r="G904" s="18" t="s">
        <v>1949</v>
      </c>
      <c r="H904" s="17" t="s">
        <v>13</v>
      </c>
      <c r="I904" s="23" t="s">
        <v>119</v>
      </c>
      <c r="J904" s="21" t="s">
        <v>119</v>
      </c>
    </row>
    <row r="905" spans="1:10" ht="16" x14ac:dyDescent="0.2">
      <c r="A905" s="16" t="s">
        <v>1950</v>
      </c>
      <c r="B905" s="34">
        <v>43970</v>
      </c>
      <c r="C905" s="16">
        <v>4</v>
      </c>
      <c r="D905" s="17" t="str">
        <f>IF(C905="","",VLOOKUP(C905,'Objekt Aufstellung'!$A$2:$B$51,2))</f>
        <v>Neanderstraße 15</v>
      </c>
      <c r="E905" s="17" t="s">
        <v>693</v>
      </c>
      <c r="F905" s="17" t="s">
        <v>1951</v>
      </c>
      <c r="G905" s="18" t="s">
        <v>1949</v>
      </c>
      <c r="H905" s="17" t="s">
        <v>13</v>
      </c>
      <c r="I905" s="23" t="s">
        <v>119</v>
      </c>
      <c r="J905" s="21" t="s">
        <v>119</v>
      </c>
    </row>
    <row r="906" spans="1:10" ht="16" x14ac:dyDescent="0.2">
      <c r="A906" s="16" t="s">
        <v>1952</v>
      </c>
      <c r="B906" s="34">
        <v>43970</v>
      </c>
      <c r="C906" s="16">
        <v>29</v>
      </c>
      <c r="D906" s="17" t="str">
        <f>IF(C906="","",VLOOKUP(C906,'Objekt Aufstellung'!$A$2:$B$51,2))</f>
        <v>Bismarckstraße 109</v>
      </c>
      <c r="E906" s="17" t="s">
        <v>358</v>
      </c>
      <c r="F906" s="17" t="s">
        <v>1953</v>
      </c>
      <c r="G906" s="18" t="s">
        <v>1954</v>
      </c>
      <c r="H906" s="17" t="s">
        <v>13</v>
      </c>
      <c r="I906" s="23" t="s">
        <v>543</v>
      </c>
      <c r="J906" s="21" t="s">
        <v>543</v>
      </c>
    </row>
    <row r="907" spans="1:10" ht="16" x14ac:dyDescent="0.2">
      <c r="A907" s="16" t="s">
        <v>1955</v>
      </c>
      <c r="B907" s="34">
        <v>43971</v>
      </c>
      <c r="C907" s="16">
        <v>23</v>
      </c>
      <c r="D907" s="17" t="str">
        <f>IF(C907="","",VLOOKUP(C907,'Objekt Aufstellung'!$A$2:$B$51,2))</f>
        <v>Börnestraße 2</v>
      </c>
      <c r="E907" s="17" t="s">
        <v>793</v>
      </c>
      <c r="F907" s="17" t="s">
        <v>1306</v>
      </c>
      <c r="G907" s="18" t="s">
        <v>1956</v>
      </c>
      <c r="H907" s="17" t="s">
        <v>13</v>
      </c>
      <c r="I907" s="37" t="s">
        <v>706</v>
      </c>
      <c r="J907" s="37" t="s">
        <v>706</v>
      </c>
    </row>
    <row r="908" spans="1:10" ht="16" x14ac:dyDescent="0.2">
      <c r="A908" s="16" t="s">
        <v>1957</v>
      </c>
      <c r="B908" s="34">
        <v>43973</v>
      </c>
      <c r="C908" s="16">
        <v>45</v>
      </c>
      <c r="D908" s="17" t="str">
        <f>IF(C908="","",VLOOKUP(C908,'Objekt Aufstellung'!$A$2:$B$51,2))</f>
        <v>Neumühler Straße 39</v>
      </c>
      <c r="E908" s="17" t="s">
        <v>637</v>
      </c>
      <c r="F908" s="17" t="s">
        <v>1958</v>
      </c>
      <c r="G908" s="18" t="s">
        <v>1959</v>
      </c>
      <c r="H908" s="17" t="s">
        <v>13</v>
      </c>
      <c r="I908" s="23" t="s">
        <v>14</v>
      </c>
      <c r="J908" s="21" t="s">
        <v>14</v>
      </c>
    </row>
    <row r="909" spans="1:10" ht="16" x14ac:dyDescent="0.2">
      <c r="A909" s="16" t="s">
        <v>1960</v>
      </c>
      <c r="B909" s="34">
        <v>43973</v>
      </c>
      <c r="C909" s="16">
        <v>23</v>
      </c>
      <c r="D909" s="17" t="str">
        <f>IF(C909="","",VLOOKUP(C909,'Objekt Aufstellung'!$A$2:$B$51,2))</f>
        <v>Börnestraße 2</v>
      </c>
      <c r="E909" s="17" t="s">
        <v>1306</v>
      </c>
      <c r="F909" s="17" t="s">
        <v>1961</v>
      </c>
      <c r="G909" s="18" t="s">
        <v>1962</v>
      </c>
      <c r="H909" s="17" t="s">
        <v>13</v>
      </c>
      <c r="I909" s="23" t="s">
        <v>19</v>
      </c>
      <c r="J909" s="21" t="s">
        <v>19</v>
      </c>
    </row>
    <row r="910" spans="1:10" ht="16" x14ac:dyDescent="0.2">
      <c r="A910" s="16" t="s">
        <v>1963</v>
      </c>
      <c r="B910" s="34">
        <v>43978</v>
      </c>
      <c r="C910" s="16">
        <v>29</v>
      </c>
      <c r="D910" s="17" t="str">
        <f>IF(C910="","",VLOOKUP(C910,'Objekt Aufstellung'!$A$2:$B$51,2))</f>
        <v>Bismarckstraße 109</v>
      </c>
      <c r="E910" s="17" t="s">
        <v>263</v>
      </c>
      <c r="F910" s="17" t="s">
        <v>1857</v>
      </c>
      <c r="G910" s="18" t="s">
        <v>1150</v>
      </c>
      <c r="H910" s="17" t="s">
        <v>13</v>
      </c>
      <c r="I910" s="21" t="s">
        <v>423</v>
      </c>
      <c r="J910" s="21" t="s">
        <v>423</v>
      </c>
    </row>
    <row r="911" spans="1:10" ht="16" x14ac:dyDescent="0.2">
      <c r="A911" s="16" t="s">
        <v>843</v>
      </c>
      <c r="B911" s="34">
        <v>43978</v>
      </c>
      <c r="C911" s="16">
        <v>3</v>
      </c>
      <c r="D911" s="17" t="str">
        <f>IF(C911="","",VLOOKUP(C911,'Objekt Aufstellung'!$A$2:$B$51,2))</f>
        <v xml:space="preserve"> Schloßstraße 19</v>
      </c>
      <c r="E911" s="17" t="s">
        <v>16</v>
      </c>
      <c r="F911" s="17" t="s">
        <v>1291</v>
      </c>
      <c r="G911" s="18" t="s">
        <v>1964</v>
      </c>
      <c r="H911" s="17" t="s">
        <v>13</v>
      </c>
      <c r="I911" s="23" t="s">
        <v>14</v>
      </c>
      <c r="J911" s="21" t="s">
        <v>14</v>
      </c>
    </row>
    <row r="912" spans="1:10" ht="16" x14ac:dyDescent="0.2">
      <c r="A912" s="16" t="s">
        <v>1965</v>
      </c>
      <c r="B912" s="34">
        <v>43978</v>
      </c>
      <c r="C912" s="16">
        <v>30</v>
      </c>
      <c r="D912" s="17" t="str">
        <f>IF(C912="","",VLOOKUP(C912,'Objekt Aufstellung'!$A$2:$B$51,2))</f>
        <v>Memelstraße 43</v>
      </c>
      <c r="E912" s="17" t="s">
        <v>1306</v>
      </c>
      <c r="F912" s="17" t="s">
        <v>1966</v>
      </c>
      <c r="G912" s="18" t="s">
        <v>1967</v>
      </c>
      <c r="H912" s="17" t="s">
        <v>13</v>
      </c>
      <c r="I912" s="23" t="s">
        <v>232</v>
      </c>
      <c r="J912" s="21" t="s">
        <v>232</v>
      </c>
    </row>
    <row r="913" spans="1:10" ht="16" x14ac:dyDescent="0.2">
      <c r="A913" s="16" t="s">
        <v>1968</v>
      </c>
      <c r="B913" s="34">
        <v>43979</v>
      </c>
      <c r="C913" s="16">
        <v>5</v>
      </c>
      <c r="D913" s="17" t="str">
        <f>IF(C913="","",VLOOKUP(C913,'Objekt Aufstellung'!$A$2:$B$51,2))</f>
        <v>Luisenstraße 3</v>
      </c>
      <c r="E913" s="17" t="s">
        <v>1306</v>
      </c>
      <c r="F913" s="17" t="s">
        <v>17</v>
      </c>
      <c r="G913" s="18" t="s">
        <v>1969</v>
      </c>
      <c r="H913" s="17" t="s">
        <v>23</v>
      </c>
      <c r="I913" s="23" t="s">
        <v>14</v>
      </c>
      <c r="J913" s="21" t="s">
        <v>14</v>
      </c>
    </row>
    <row r="914" spans="1:10" ht="16" x14ac:dyDescent="0.2">
      <c r="A914" s="16" t="s">
        <v>1970</v>
      </c>
      <c r="B914" s="34">
        <v>43970</v>
      </c>
      <c r="C914" s="16">
        <v>41</v>
      </c>
      <c r="D914" s="17" t="str">
        <f>IF(C914="","",VLOOKUP(C914,'Objekt Aufstellung'!$A$2:$B$51,2))</f>
        <v>Spichernstraße 27</v>
      </c>
      <c r="E914" s="17" t="s">
        <v>10</v>
      </c>
      <c r="F914" s="17" t="s">
        <v>1688</v>
      </c>
      <c r="G914" s="18" t="s">
        <v>1150</v>
      </c>
      <c r="H914" s="17" t="s">
        <v>13</v>
      </c>
      <c r="I914" s="21" t="s">
        <v>423</v>
      </c>
      <c r="J914" s="21" t="s">
        <v>423</v>
      </c>
    </row>
    <row r="915" spans="1:10" ht="16" x14ac:dyDescent="0.2">
      <c r="A915" s="16" t="s">
        <v>1971</v>
      </c>
      <c r="B915" s="34">
        <v>43979</v>
      </c>
      <c r="C915" s="16">
        <v>2</v>
      </c>
      <c r="D915" s="17" t="str">
        <f>IF(C915="","",VLOOKUP(C915,'Objekt Aufstellung'!$A$2:$B$51,2))</f>
        <v>Pfalzstraße 17</v>
      </c>
      <c r="E915" s="17" t="s">
        <v>693</v>
      </c>
      <c r="F915" s="17" t="s">
        <v>1983</v>
      </c>
      <c r="G915" s="18" t="s">
        <v>290</v>
      </c>
      <c r="H915" s="17" t="s">
        <v>13</v>
      </c>
      <c r="I915" s="23" t="s">
        <v>14</v>
      </c>
      <c r="J915" s="21" t="s">
        <v>14</v>
      </c>
    </row>
    <row r="916" spans="1:10" ht="16" x14ac:dyDescent="0.2">
      <c r="A916" s="16" t="s">
        <v>1972</v>
      </c>
      <c r="B916" s="34">
        <v>43979</v>
      </c>
      <c r="C916" s="16">
        <v>12</v>
      </c>
      <c r="D916" s="17" t="str">
        <f>IF(C916="","",VLOOKUP(C916,'Objekt Aufstellung'!$A$2:$B$51,2))</f>
        <v>Merowingerstr. 17</v>
      </c>
      <c r="E916" s="17" t="s">
        <v>317</v>
      </c>
      <c r="F916" s="17" t="s">
        <v>1842</v>
      </c>
      <c r="G916" s="18" t="s">
        <v>1984</v>
      </c>
      <c r="H916" s="17" t="s">
        <v>13</v>
      </c>
      <c r="I916" s="23" t="s">
        <v>181</v>
      </c>
      <c r="J916" s="21" t="s">
        <v>181</v>
      </c>
    </row>
    <row r="917" spans="1:10" ht="16" x14ac:dyDescent="0.2">
      <c r="A917" s="16" t="s">
        <v>1973</v>
      </c>
      <c r="B917" s="34">
        <v>43980</v>
      </c>
      <c r="C917" s="16">
        <v>27</v>
      </c>
      <c r="D917" s="17" t="str">
        <f>IF(C917="","",VLOOKUP(C917,'Objekt Aufstellung'!$A$2:$B$51,2))</f>
        <v>Koppelskamp 14</v>
      </c>
      <c r="E917" s="17" t="s">
        <v>1985</v>
      </c>
      <c r="F917" s="17"/>
      <c r="G917" s="18" t="s">
        <v>1986</v>
      </c>
      <c r="H917" s="17" t="s">
        <v>13</v>
      </c>
      <c r="I917" s="23" t="s">
        <v>14</v>
      </c>
      <c r="J917" s="21" t="s">
        <v>14</v>
      </c>
    </row>
    <row r="918" spans="1:10" ht="16" x14ac:dyDescent="0.2">
      <c r="A918" s="16" t="s">
        <v>1974</v>
      </c>
      <c r="B918" s="34">
        <v>43980</v>
      </c>
      <c r="C918" s="16">
        <v>27</v>
      </c>
      <c r="D918" s="17" t="str">
        <f>IF(C918="","",VLOOKUP(C918,'Objekt Aufstellung'!$A$2:$B$51,2))</f>
        <v>Koppelskamp 14</v>
      </c>
      <c r="E918" s="17" t="s">
        <v>693</v>
      </c>
      <c r="F918" s="17" t="s">
        <v>1987</v>
      </c>
      <c r="G918" s="18" t="s">
        <v>1988</v>
      </c>
      <c r="H918" s="17" t="s">
        <v>13</v>
      </c>
      <c r="I918" s="23" t="s">
        <v>900</v>
      </c>
      <c r="J918" s="21" t="s">
        <v>900</v>
      </c>
    </row>
    <row r="919" spans="1:10" ht="16" x14ac:dyDescent="0.2">
      <c r="A919" s="16" t="s">
        <v>1975</v>
      </c>
      <c r="B919" s="34">
        <v>43980</v>
      </c>
      <c r="C919" s="16">
        <v>36</v>
      </c>
      <c r="D919" s="17" t="str">
        <f>IF(C919="","",VLOOKUP(C919,'Objekt Aufstellung'!$A$2:$B$51,2))</f>
        <v>Lintorfer Waldstraße 8</v>
      </c>
      <c r="E919" s="17" t="s">
        <v>466</v>
      </c>
      <c r="F919" s="17" t="s">
        <v>1989</v>
      </c>
      <c r="G919" s="18" t="s">
        <v>2008</v>
      </c>
      <c r="H919" s="17" t="s">
        <v>13</v>
      </c>
      <c r="I919" s="23" t="s">
        <v>181</v>
      </c>
      <c r="J919" s="21" t="s">
        <v>181</v>
      </c>
    </row>
    <row r="920" spans="1:10" ht="16" x14ac:dyDescent="0.2">
      <c r="A920" s="16" t="s">
        <v>1976</v>
      </c>
      <c r="B920" s="34">
        <v>43980</v>
      </c>
      <c r="C920" s="16">
        <v>15</v>
      </c>
      <c r="D920" s="17" t="str">
        <f>IF(C920="","",VLOOKUP(C920,'Objekt Aufstellung'!$A$2:$B$51,2))</f>
        <v>Hoppengarten 15</v>
      </c>
      <c r="E920" s="17" t="s">
        <v>273</v>
      </c>
      <c r="F920" s="17"/>
      <c r="G920" s="18" t="s">
        <v>2009</v>
      </c>
      <c r="H920" s="17" t="s">
        <v>13</v>
      </c>
      <c r="I920" s="23" t="s">
        <v>181</v>
      </c>
      <c r="J920" s="21"/>
    </row>
    <row r="921" spans="1:10" ht="16" x14ac:dyDescent="0.2">
      <c r="A921" s="16" t="s">
        <v>1977</v>
      </c>
      <c r="B921" s="34">
        <v>43980</v>
      </c>
      <c r="C921" s="16">
        <v>16</v>
      </c>
      <c r="D921" s="17" t="str">
        <f>IF(C921="","",VLOOKUP(C921,'Objekt Aufstellung'!$A$2:$B$51,2))</f>
        <v>Hoppengarten 17</v>
      </c>
      <c r="E921" s="17" t="s">
        <v>263</v>
      </c>
      <c r="F921" s="17" t="s">
        <v>2010</v>
      </c>
      <c r="G921" s="18" t="s">
        <v>2008</v>
      </c>
      <c r="H921" s="17" t="s">
        <v>13</v>
      </c>
      <c r="I921" s="23" t="s">
        <v>181</v>
      </c>
      <c r="J921" s="21"/>
    </row>
    <row r="922" spans="1:10" ht="16" x14ac:dyDescent="0.2">
      <c r="A922" s="16" t="s">
        <v>1978</v>
      </c>
      <c r="B922" s="34">
        <v>43981</v>
      </c>
      <c r="C922" s="16">
        <v>36</v>
      </c>
      <c r="D922" s="17" t="str">
        <f>IF(C922="","",VLOOKUP(C922,'Objekt Aufstellung'!$A$2:$B$51,2))</f>
        <v>Lintorfer Waldstraße 8</v>
      </c>
      <c r="E922" s="17" t="s">
        <v>263</v>
      </c>
      <c r="F922" s="17" t="s">
        <v>281</v>
      </c>
      <c r="G922" s="18" t="s">
        <v>2011</v>
      </c>
      <c r="H922" s="17" t="s">
        <v>13</v>
      </c>
      <c r="I922" s="23" t="s">
        <v>922</v>
      </c>
      <c r="J922" s="21" t="s">
        <v>922</v>
      </c>
    </row>
    <row r="923" spans="1:10" ht="16" x14ac:dyDescent="0.2">
      <c r="A923" s="16" t="s">
        <v>1979</v>
      </c>
      <c r="B923" s="34">
        <v>43984</v>
      </c>
      <c r="C923" s="16">
        <v>35</v>
      </c>
      <c r="D923" s="17" t="str">
        <f>IF(C923="","",VLOOKUP(C923,'Objekt Aufstellung'!$A$2:$B$51,2))</f>
        <v>Lintorfer Waldstraße 6</v>
      </c>
      <c r="E923" s="17" t="s">
        <v>263</v>
      </c>
      <c r="F923" s="17" t="s">
        <v>281</v>
      </c>
      <c r="G923" s="18" t="s">
        <v>2012</v>
      </c>
      <c r="H923" s="17" t="s">
        <v>13</v>
      </c>
      <c r="I923" s="23" t="s">
        <v>900</v>
      </c>
      <c r="J923" s="21" t="s">
        <v>900</v>
      </c>
    </row>
    <row r="924" spans="1:10" ht="16" x14ac:dyDescent="0.2">
      <c r="A924" s="16" t="s">
        <v>1980</v>
      </c>
      <c r="B924" s="34">
        <v>43984</v>
      </c>
      <c r="C924" s="16">
        <v>34</v>
      </c>
      <c r="D924" s="17" t="str">
        <f>IF(C924="","",VLOOKUP(C924,'Objekt Aufstellung'!$A$2:$B$51,2))</f>
        <v>Koppelskamp 7</v>
      </c>
      <c r="E924" s="17" t="s">
        <v>685</v>
      </c>
      <c r="F924" s="17" t="s">
        <v>686</v>
      </c>
      <c r="G924" s="18" t="s">
        <v>2013</v>
      </c>
      <c r="H924" s="17" t="s">
        <v>13</v>
      </c>
      <c r="I924" s="23" t="s">
        <v>14</v>
      </c>
      <c r="J924" s="21"/>
    </row>
    <row r="925" spans="1:10" ht="16" x14ac:dyDescent="0.2">
      <c r="A925" s="16" t="s">
        <v>1981</v>
      </c>
      <c r="B925" s="34">
        <v>43986</v>
      </c>
      <c r="C925" s="16">
        <v>7</v>
      </c>
      <c r="D925" s="17" t="str">
        <f>IF(C925="","",VLOOKUP(C925,'Objekt Aufstellung'!$A$2:$B$51,2))</f>
        <v>Engerstraße 3</v>
      </c>
      <c r="E925" s="17" t="s">
        <v>149</v>
      </c>
      <c r="F925" s="17" t="s">
        <v>2014</v>
      </c>
      <c r="G925" s="18" t="s">
        <v>2015</v>
      </c>
      <c r="H925" s="17" t="s">
        <v>13</v>
      </c>
      <c r="I925" s="23" t="s">
        <v>14</v>
      </c>
      <c r="J925" s="21" t="s">
        <v>14</v>
      </c>
    </row>
    <row r="926" spans="1:10" ht="16" x14ac:dyDescent="0.2">
      <c r="A926" s="16" t="s">
        <v>1990</v>
      </c>
      <c r="B926" s="35">
        <v>43986</v>
      </c>
      <c r="C926" s="16">
        <v>42</v>
      </c>
      <c r="D926" s="17" t="str">
        <f>IF(C926="","",VLOOKUP(C926,'Objekt Aufstellung'!$A$2:$B$51,2))</f>
        <v>Metzer Straße 17</v>
      </c>
      <c r="E926" s="17" t="s">
        <v>10</v>
      </c>
      <c r="F926" s="17" t="s">
        <v>968</v>
      </c>
      <c r="G926" s="18" t="s">
        <v>2016</v>
      </c>
      <c r="H926" s="17" t="s">
        <v>13</v>
      </c>
      <c r="I926" s="17" t="s">
        <v>543</v>
      </c>
      <c r="J926" s="21" t="s">
        <v>543</v>
      </c>
    </row>
    <row r="927" spans="1:10" ht="16" x14ac:dyDescent="0.2">
      <c r="A927" s="16" t="s">
        <v>1991</v>
      </c>
      <c r="B927" s="34">
        <v>43986</v>
      </c>
      <c r="C927" s="16">
        <v>42</v>
      </c>
      <c r="D927" s="17" t="str">
        <f>IF(C927="","",VLOOKUP(C927,'Objekt Aufstellung'!$A$2:$B$51,2))</f>
        <v>Metzer Straße 17</v>
      </c>
      <c r="E927" s="17" t="s">
        <v>10</v>
      </c>
      <c r="F927" s="17" t="s">
        <v>968</v>
      </c>
      <c r="G927" s="18" t="s">
        <v>2017</v>
      </c>
      <c r="H927" s="17" t="s">
        <v>13</v>
      </c>
      <c r="I927" s="23" t="s">
        <v>19</v>
      </c>
      <c r="J927" s="21" t="s">
        <v>19</v>
      </c>
    </row>
    <row r="928" spans="1:10" ht="16" x14ac:dyDescent="0.2">
      <c r="A928" s="16" t="s">
        <v>1992</v>
      </c>
      <c r="B928" s="34">
        <v>43990</v>
      </c>
      <c r="C928" s="16">
        <v>24</v>
      </c>
      <c r="D928" s="17" t="str">
        <f>IF(C928="","",VLOOKUP(C928,'Objekt Aufstellung'!$A$2:$B$51,2))</f>
        <v>Angerbenden 31</v>
      </c>
      <c r="E928" s="17" t="s">
        <v>138</v>
      </c>
      <c r="F928" s="17" t="s">
        <v>1946</v>
      </c>
      <c r="G928" s="18" t="s">
        <v>2018</v>
      </c>
      <c r="H928" s="17" t="s">
        <v>13</v>
      </c>
      <c r="I928" s="23" t="s">
        <v>30</v>
      </c>
      <c r="J928" s="21" t="s">
        <v>30</v>
      </c>
    </row>
    <row r="929" spans="1:10" ht="16" x14ac:dyDescent="0.2">
      <c r="A929" s="16" t="s">
        <v>1993</v>
      </c>
      <c r="B929" s="34">
        <v>43990</v>
      </c>
      <c r="C929" s="16">
        <v>3</v>
      </c>
      <c r="D929" s="17" t="str">
        <f>IF(C929="","",VLOOKUP(C929,'Objekt Aufstellung'!$A$2:$B$51,2))</f>
        <v xml:space="preserve"> Schloßstraße 19</v>
      </c>
      <c r="E929" s="17" t="s">
        <v>344</v>
      </c>
      <c r="F929" s="17" t="s">
        <v>2019</v>
      </c>
      <c r="G929" s="18" t="s">
        <v>2020</v>
      </c>
      <c r="H929" s="17" t="s">
        <v>13</v>
      </c>
      <c r="I929" s="37" t="s">
        <v>119</v>
      </c>
      <c r="J929" s="21" t="s">
        <v>119</v>
      </c>
    </row>
    <row r="930" spans="1:10" ht="16" x14ac:dyDescent="0.2">
      <c r="A930" s="16" t="s">
        <v>1994</v>
      </c>
      <c r="B930" s="34">
        <v>43990</v>
      </c>
      <c r="C930" s="16">
        <v>4</v>
      </c>
      <c r="D930" s="17" t="str">
        <f>IF(C930="","",VLOOKUP(C930,'Objekt Aufstellung'!$A$2:$B$51,2))</f>
        <v>Neanderstraße 15</v>
      </c>
      <c r="E930" s="17" t="s">
        <v>467</v>
      </c>
      <c r="F930" s="17" t="s">
        <v>731</v>
      </c>
      <c r="G930" s="18" t="s">
        <v>2021</v>
      </c>
      <c r="H930" s="17" t="s">
        <v>13</v>
      </c>
      <c r="I930" s="23" t="s">
        <v>14</v>
      </c>
      <c r="J930" s="21" t="s">
        <v>14</v>
      </c>
    </row>
    <row r="931" spans="1:10" ht="16" x14ac:dyDescent="0.2">
      <c r="A931" s="16" t="s">
        <v>1995</v>
      </c>
      <c r="B931" s="34">
        <v>43990</v>
      </c>
      <c r="C931" s="16">
        <v>24</v>
      </c>
      <c r="D931" s="17" t="str">
        <f>IF(C931="","",VLOOKUP(C931,'Objekt Aufstellung'!$A$2:$B$51,2))</f>
        <v>Angerbenden 31</v>
      </c>
      <c r="E931" s="17" t="s">
        <v>138</v>
      </c>
      <c r="F931" s="17" t="s">
        <v>1946</v>
      </c>
      <c r="G931" s="18" t="s">
        <v>66</v>
      </c>
      <c r="H931" s="17" t="s">
        <v>13</v>
      </c>
      <c r="I931" s="23" t="s">
        <v>14</v>
      </c>
      <c r="J931" s="21" t="s">
        <v>14</v>
      </c>
    </row>
    <row r="932" spans="1:10" ht="16" x14ac:dyDescent="0.2">
      <c r="A932" s="16" t="s">
        <v>1996</v>
      </c>
      <c r="B932" s="34">
        <v>43990</v>
      </c>
      <c r="C932" s="16">
        <v>24</v>
      </c>
      <c r="D932" s="17" t="str">
        <f>IF(C932="","",VLOOKUP(C932,'Objekt Aufstellung'!$A$2:$B$51,2))</f>
        <v>Angerbenden 31</v>
      </c>
      <c r="E932" s="17" t="s">
        <v>138</v>
      </c>
      <c r="F932" s="17" t="s">
        <v>1946</v>
      </c>
      <c r="G932" s="18" t="s">
        <v>2022</v>
      </c>
      <c r="H932" s="17" t="s">
        <v>13</v>
      </c>
      <c r="I932" s="45" t="s">
        <v>900</v>
      </c>
      <c r="J932" s="21"/>
    </row>
    <row r="933" spans="1:10" ht="16" x14ac:dyDescent="0.2">
      <c r="A933" s="16" t="s">
        <v>1997</v>
      </c>
      <c r="B933" s="34">
        <v>43990</v>
      </c>
      <c r="C933" s="16">
        <v>36</v>
      </c>
      <c r="D933" s="17" t="str">
        <f>IF(C933="","",VLOOKUP(C933,'Objekt Aufstellung'!$A$2:$B$51,2))</f>
        <v>Lintorfer Waldstraße 8</v>
      </c>
      <c r="E933" s="17" t="s">
        <v>2023</v>
      </c>
      <c r="F933" s="17"/>
      <c r="G933" s="18" t="s">
        <v>2024</v>
      </c>
      <c r="H933" s="17" t="s">
        <v>13</v>
      </c>
      <c r="I933" s="23" t="s">
        <v>76</v>
      </c>
      <c r="J933" s="21" t="s">
        <v>76</v>
      </c>
    </row>
    <row r="934" spans="1:10" ht="16" x14ac:dyDescent="0.2">
      <c r="A934" s="16" t="s">
        <v>1998</v>
      </c>
      <c r="B934" s="34">
        <v>43990</v>
      </c>
      <c r="C934" s="16">
        <v>48</v>
      </c>
      <c r="D934" s="17" t="str">
        <f>IF(C934="","",VLOOKUP(C934,'Objekt Aufstellung'!$A$2:$B$51,2))</f>
        <v>Mendelsohnstraße 3</v>
      </c>
      <c r="E934" s="17" t="s">
        <v>344</v>
      </c>
      <c r="F934" s="17" t="s">
        <v>76</v>
      </c>
      <c r="G934" s="18" t="s">
        <v>2025</v>
      </c>
      <c r="H934" s="17" t="s">
        <v>13</v>
      </c>
      <c r="I934" s="23" t="s">
        <v>14</v>
      </c>
      <c r="J934" s="21" t="s">
        <v>14</v>
      </c>
    </row>
    <row r="935" spans="1:10" ht="16" x14ac:dyDescent="0.2">
      <c r="A935" s="16" t="s">
        <v>1999</v>
      </c>
      <c r="B935" s="34">
        <v>43990</v>
      </c>
      <c r="C935" s="16">
        <v>24</v>
      </c>
      <c r="D935" s="17" t="str">
        <f>IF(C935="","",VLOOKUP(C935,'Objekt Aufstellung'!$A$2:$B$51,2))</f>
        <v>Angerbenden 31</v>
      </c>
      <c r="E935" s="17" t="s">
        <v>467</v>
      </c>
      <c r="F935" s="17" t="s">
        <v>1897</v>
      </c>
      <c r="G935" s="18" t="s">
        <v>2048</v>
      </c>
      <c r="H935" s="17" t="s">
        <v>13</v>
      </c>
      <c r="I935" s="23" t="s">
        <v>960</v>
      </c>
      <c r="J935" s="21" t="s">
        <v>960</v>
      </c>
    </row>
    <row r="936" spans="1:10" ht="16" x14ac:dyDescent="0.2">
      <c r="A936" s="16" t="s">
        <v>2000</v>
      </c>
      <c r="B936" s="34">
        <v>43990</v>
      </c>
      <c r="C936" s="16">
        <v>36</v>
      </c>
      <c r="D936" s="17" t="str">
        <f>IF(C936="","",VLOOKUP(C936,'Objekt Aufstellung'!$A$2:$B$51,2))</f>
        <v>Lintorfer Waldstraße 8</v>
      </c>
      <c r="E936" s="17" t="s">
        <v>358</v>
      </c>
      <c r="F936" s="17" t="s">
        <v>2049</v>
      </c>
      <c r="G936" s="18" t="s">
        <v>2050</v>
      </c>
      <c r="H936" s="17" t="s">
        <v>13</v>
      </c>
      <c r="I936" s="23" t="s">
        <v>71</v>
      </c>
      <c r="J936" s="23" t="s">
        <v>71</v>
      </c>
    </row>
    <row r="937" spans="1:10" ht="16" x14ac:dyDescent="0.2">
      <c r="A937" s="16" t="s">
        <v>2001</v>
      </c>
      <c r="B937" s="34">
        <v>43991</v>
      </c>
      <c r="C937" s="16">
        <v>1</v>
      </c>
      <c r="D937" s="17" t="str">
        <f>IF(C937="","",VLOOKUP(C937,'Objekt Aufstellung'!$A$2:$B$51,2))</f>
        <v>Roßstraße 9</v>
      </c>
      <c r="E937" s="17" t="s">
        <v>2052</v>
      </c>
      <c r="F937" s="17" t="s">
        <v>2053</v>
      </c>
      <c r="G937" s="18" t="s">
        <v>2051</v>
      </c>
      <c r="H937" s="17" t="s">
        <v>13</v>
      </c>
      <c r="I937" s="36" t="s">
        <v>181</v>
      </c>
      <c r="J937" s="21" t="s">
        <v>181</v>
      </c>
    </row>
    <row r="938" spans="1:10" ht="16" x14ac:dyDescent="0.2">
      <c r="A938" s="16" t="s">
        <v>2002</v>
      </c>
      <c r="B938" s="34">
        <v>43992</v>
      </c>
      <c r="C938" s="16">
        <v>20</v>
      </c>
      <c r="D938" s="17" t="str">
        <f>IF(C938="","",VLOOKUP(C938,'Objekt Aufstellung'!$A$2:$B$51,2))</f>
        <v>Kranzstraße 103</v>
      </c>
      <c r="E938" s="17" t="s">
        <v>566</v>
      </c>
      <c r="F938" s="17" t="s">
        <v>481</v>
      </c>
      <c r="G938" s="18" t="s">
        <v>2054</v>
      </c>
      <c r="H938" s="17" t="s">
        <v>13</v>
      </c>
      <c r="I938" s="23" t="s">
        <v>14</v>
      </c>
      <c r="J938" s="21" t="s">
        <v>14</v>
      </c>
    </row>
    <row r="939" spans="1:10" ht="16" x14ac:dyDescent="0.2">
      <c r="A939" s="16" t="s">
        <v>2003</v>
      </c>
      <c r="B939" s="34">
        <v>43992</v>
      </c>
      <c r="C939" s="16">
        <v>46</v>
      </c>
      <c r="D939" s="17" t="str">
        <f>IF(C939="","",VLOOKUP(C939,'Objekt Aufstellung'!$A$2:$B$51,2))</f>
        <v>Neumühler Straße 41</v>
      </c>
      <c r="E939" s="17" t="s">
        <v>467</v>
      </c>
      <c r="F939" s="17" t="s">
        <v>2055</v>
      </c>
      <c r="G939" s="18" t="s">
        <v>2056</v>
      </c>
      <c r="H939" s="17" t="s">
        <v>13</v>
      </c>
      <c r="I939" s="23" t="s">
        <v>19</v>
      </c>
      <c r="J939" s="21" t="s">
        <v>19</v>
      </c>
    </row>
    <row r="940" spans="1:10" ht="16" x14ac:dyDescent="0.2">
      <c r="A940" s="16" t="s">
        <v>2004</v>
      </c>
      <c r="B940" s="34">
        <v>43992</v>
      </c>
      <c r="C940" s="16">
        <v>16</v>
      </c>
      <c r="D940" s="17" t="str">
        <f>IF(C940="","",VLOOKUP(C940,'Objekt Aufstellung'!$A$2:$B$51,2))</f>
        <v>Hoppengarten 17</v>
      </c>
      <c r="E940" s="17" t="s">
        <v>693</v>
      </c>
      <c r="F940" s="17" t="s">
        <v>2057</v>
      </c>
      <c r="G940" s="18" t="s">
        <v>2058</v>
      </c>
      <c r="H940" s="17" t="s">
        <v>13</v>
      </c>
      <c r="I940" s="23" t="s">
        <v>19</v>
      </c>
      <c r="J940" s="21"/>
    </row>
    <row r="941" spans="1:10" ht="16" x14ac:dyDescent="0.2">
      <c r="A941" s="16" t="s">
        <v>2005</v>
      </c>
      <c r="B941" s="48">
        <v>43992</v>
      </c>
      <c r="C941" s="47">
        <v>20</v>
      </c>
      <c r="D941" s="17" t="str">
        <f>IF(C941="","",VLOOKUP(C941,'Objekt Aufstellung'!$A$2:$B$51,2))</f>
        <v>Kranzstraße 103</v>
      </c>
      <c r="E941" s="49" t="s">
        <v>134</v>
      </c>
      <c r="F941" s="49"/>
      <c r="G941" s="50" t="s">
        <v>2059</v>
      </c>
      <c r="H941" s="49" t="s">
        <v>13</v>
      </c>
      <c r="I941" s="51" t="s">
        <v>104</v>
      </c>
      <c r="J941" s="21"/>
    </row>
    <row r="942" spans="1:10" ht="16" x14ac:dyDescent="0.2">
      <c r="A942" s="16" t="s">
        <v>2006</v>
      </c>
      <c r="B942" s="48">
        <v>43995</v>
      </c>
      <c r="C942" s="47">
        <v>26</v>
      </c>
      <c r="D942" s="17" t="str">
        <f>IF(C942="","",VLOOKUP(C942,'Objekt Aufstellung'!$A$2:$B$51,2))</f>
        <v>Koppelskamp 12</v>
      </c>
      <c r="E942" s="49" t="s">
        <v>693</v>
      </c>
      <c r="F942" s="49" t="s">
        <v>2060</v>
      </c>
      <c r="G942" s="50" t="s">
        <v>2066</v>
      </c>
      <c r="H942" s="49" t="s">
        <v>13</v>
      </c>
      <c r="I942" s="51" t="s">
        <v>181</v>
      </c>
      <c r="J942" s="21" t="s">
        <v>181</v>
      </c>
    </row>
    <row r="943" spans="1:10" ht="16" x14ac:dyDescent="0.2">
      <c r="A943" s="16" t="s">
        <v>2007</v>
      </c>
      <c r="B943" s="48">
        <v>43997</v>
      </c>
      <c r="C943" s="47">
        <v>11</v>
      </c>
      <c r="D943" s="17" t="str">
        <f>IF(C943="","",VLOOKUP(C943,'Objekt Aufstellung'!$A$2:$B$51,2))</f>
        <v>Kölner Landstraße 261</v>
      </c>
      <c r="E943" s="49" t="s">
        <v>1486</v>
      </c>
      <c r="F943" s="49" t="s">
        <v>2061</v>
      </c>
      <c r="G943" s="50" t="s">
        <v>2062</v>
      </c>
      <c r="H943" s="49" t="s">
        <v>13</v>
      </c>
      <c r="I943" s="51" t="s">
        <v>48</v>
      </c>
      <c r="J943" s="21" t="s">
        <v>48</v>
      </c>
    </row>
    <row r="944" spans="1:10" ht="16" x14ac:dyDescent="0.2">
      <c r="A944" s="16" t="s">
        <v>2026</v>
      </c>
      <c r="B944" s="48">
        <v>43997</v>
      </c>
      <c r="C944" s="47">
        <v>11</v>
      </c>
      <c r="D944" s="17" t="str">
        <f>IF(C944="","",VLOOKUP(C944,'Objekt Aufstellung'!$A$2:$B$51,2))</f>
        <v>Kölner Landstraße 261</v>
      </c>
      <c r="E944" s="49" t="s">
        <v>1486</v>
      </c>
      <c r="F944" s="49" t="s">
        <v>2061</v>
      </c>
      <c r="G944" s="50" t="s">
        <v>2063</v>
      </c>
      <c r="H944" s="49" t="s">
        <v>13</v>
      </c>
      <c r="I944" s="51" t="s">
        <v>19</v>
      </c>
      <c r="J944" s="21"/>
    </row>
    <row r="945" spans="1:16" ht="16" x14ac:dyDescent="0.2">
      <c r="A945" s="16" t="s">
        <v>2027</v>
      </c>
      <c r="B945" s="48">
        <v>43997</v>
      </c>
      <c r="C945" s="47">
        <v>31</v>
      </c>
      <c r="D945" s="17" t="str">
        <f>IF(C945="","",VLOOKUP(C945,'Objekt Aufstellung'!$A$2:$B$51,2))</f>
        <v>Angermunder Straße 30</v>
      </c>
      <c r="E945" s="49" t="s">
        <v>94</v>
      </c>
      <c r="F945" s="49" t="s">
        <v>2064</v>
      </c>
      <c r="G945" s="50" t="s">
        <v>2065</v>
      </c>
      <c r="H945" s="49" t="s">
        <v>13</v>
      </c>
      <c r="I945" s="21" t="s">
        <v>706</v>
      </c>
      <c r="J945" s="21" t="s">
        <v>706</v>
      </c>
    </row>
    <row r="946" spans="1:16" ht="16" x14ac:dyDescent="0.2">
      <c r="A946" s="16" t="s">
        <v>2028</v>
      </c>
      <c r="B946" s="48">
        <v>43998</v>
      </c>
      <c r="C946" s="47">
        <v>15</v>
      </c>
      <c r="D946" s="17" t="str">
        <f>IF(C946="","",VLOOKUP(C946,'Objekt Aufstellung'!$A$2:$B$51,2))</f>
        <v>Hoppengarten 15</v>
      </c>
      <c r="E946" s="49" t="s">
        <v>138</v>
      </c>
      <c r="F946" s="49" t="s">
        <v>2067</v>
      </c>
      <c r="G946" s="50" t="s">
        <v>2068</v>
      </c>
      <c r="H946" s="49" t="s">
        <v>13</v>
      </c>
      <c r="I946" s="51" t="s">
        <v>181</v>
      </c>
      <c r="J946" s="21" t="s">
        <v>181</v>
      </c>
    </row>
    <row r="947" spans="1:16" ht="16" x14ac:dyDescent="0.2">
      <c r="A947" s="16" t="s">
        <v>2029</v>
      </c>
      <c r="B947" s="48">
        <v>43998</v>
      </c>
      <c r="C947" s="47">
        <v>11</v>
      </c>
      <c r="D947" s="17" t="str">
        <f>IF(C947="","",VLOOKUP(C947,'Objekt Aufstellung'!$A$2:$B$51,2))</f>
        <v>Kölner Landstraße 261</v>
      </c>
      <c r="E947" s="49" t="s">
        <v>466</v>
      </c>
      <c r="F947" s="49" t="s">
        <v>264</v>
      </c>
      <c r="G947" s="50" t="s">
        <v>2069</v>
      </c>
      <c r="H947" s="49" t="s">
        <v>13</v>
      </c>
      <c r="I947" s="51" t="s">
        <v>955</v>
      </c>
      <c r="J947" s="21"/>
    </row>
    <row r="948" spans="1:16" ht="16" x14ac:dyDescent="0.2">
      <c r="A948" s="16" t="s">
        <v>2030</v>
      </c>
      <c r="B948" s="48">
        <v>43998</v>
      </c>
      <c r="C948" s="47">
        <v>10</v>
      </c>
      <c r="D948" s="17" t="str">
        <f>IF(C948="","",VLOOKUP(C948,'Objekt Aufstellung'!$A$2:$B$51,2))</f>
        <v>Driburger Straße 8</v>
      </c>
      <c r="E948" s="49" t="s">
        <v>16</v>
      </c>
      <c r="F948" s="49" t="s">
        <v>2070</v>
      </c>
      <c r="G948" s="50" t="s">
        <v>2071</v>
      </c>
      <c r="H948" s="49" t="s">
        <v>13</v>
      </c>
      <c r="I948" s="51" t="s">
        <v>14</v>
      </c>
      <c r="J948" s="21" t="s">
        <v>14</v>
      </c>
      <c r="K948" s="52"/>
    </row>
    <row r="949" spans="1:16" ht="16" x14ac:dyDescent="0.2">
      <c r="A949" s="16" t="s">
        <v>2031</v>
      </c>
      <c r="B949" s="48">
        <v>43999</v>
      </c>
      <c r="C949" s="47">
        <v>1</v>
      </c>
      <c r="D949" s="17" t="str">
        <f>IF(C949="","",VLOOKUP(C949,'Objekt Aufstellung'!$A$2:$B$51,2))</f>
        <v>Roßstraße 9</v>
      </c>
      <c r="E949" s="49" t="s">
        <v>637</v>
      </c>
      <c r="F949" s="49" t="s">
        <v>2072</v>
      </c>
      <c r="G949" s="50" t="s">
        <v>2073</v>
      </c>
      <c r="H949" s="49" t="s">
        <v>13</v>
      </c>
      <c r="I949" s="51" t="s">
        <v>119</v>
      </c>
      <c r="J949" s="21" t="s">
        <v>119</v>
      </c>
      <c r="K949" s="52"/>
    </row>
    <row r="950" spans="1:16" ht="16" x14ac:dyDescent="0.2">
      <c r="A950" s="16" t="s">
        <v>2032</v>
      </c>
      <c r="B950" s="48">
        <v>43999</v>
      </c>
      <c r="C950" s="47">
        <v>1</v>
      </c>
      <c r="D950" s="17" t="str">
        <f>IF(C950="","",VLOOKUP(C950,'Objekt Aufstellung'!$A$2:$B$51,2))</f>
        <v>Roßstraße 9</v>
      </c>
      <c r="E950" s="49" t="s">
        <v>2074</v>
      </c>
      <c r="F950" s="49" t="s">
        <v>2075</v>
      </c>
      <c r="G950" s="50" t="s">
        <v>2076</v>
      </c>
      <c r="H950" s="49" t="s">
        <v>13</v>
      </c>
      <c r="I950" s="51" t="s">
        <v>14</v>
      </c>
      <c r="J950" s="21" t="s">
        <v>14</v>
      </c>
      <c r="K950" s="52"/>
    </row>
    <row r="951" spans="1:16" ht="16" x14ac:dyDescent="0.2">
      <c r="A951" s="16" t="s">
        <v>2033</v>
      </c>
      <c r="B951" s="48">
        <v>43999</v>
      </c>
      <c r="C951" s="47">
        <v>1</v>
      </c>
      <c r="D951" s="17" t="str">
        <f>IF(C951="","",VLOOKUP(C951,'Objekt Aufstellung'!$A$2:$B$51,2))</f>
        <v>Roßstraße 9</v>
      </c>
      <c r="E951" s="49" t="s">
        <v>2074</v>
      </c>
      <c r="F951" s="49" t="s">
        <v>2075</v>
      </c>
      <c r="G951" s="50" t="s">
        <v>2077</v>
      </c>
      <c r="H951" s="49" t="s">
        <v>13</v>
      </c>
      <c r="I951" s="51" t="s">
        <v>71</v>
      </c>
      <c r="J951" s="21" t="s">
        <v>71</v>
      </c>
      <c r="K951" s="52"/>
    </row>
    <row r="952" spans="1:16" ht="16" x14ac:dyDescent="0.2">
      <c r="A952" s="16" t="s">
        <v>2034</v>
      </c>
      <c r="B952" s="48">
        <v>43999</v>
      </c>
      <c r="C952" s="47">
        <v>1</v>
      </c>
      <c r="D952" s="17" t="str">
        <f>IF(C952="","",VLOOKUP(C952,'Objekt Aufstellung'!$A$2:$B$51,2))</f>
        <v>Roßstraße 9</v>
      </c>
      <c r="E952" s="49" t="s">
        <v>32</v>
      </c>
      <c r="F952" s="49" t="s">
        <v>2078</v>
      </c>
      <c r="G952" s="50" t="s">
        <v>2079</v>
      </c>
      <c r="H952" s="49" t="s">
        <v>13</v>
      </c>
      <c r="I952" s="51" t="s">
        <v>71</v>
      </c>
      <c r="J952" s="21" t="s">
        <v>71</v>
      </c>
      <c r="K952" s="52"/>
    </row>
    <row r="953" spans="1:16" s="53" customFormat="1" ht="16" x14ac:dyDescent="0.2">
      <c r="A953" s="16" t="s">
        <v>2035</v>
      </c>
      <c r="B953" s="48">
        <v>44000</v>
      </c>
      <c r="C953" s="47">
        <v>46</v>
      </c>
      <c r="D953" s="17" t="str">
        <f>IF(C953="","",VLOOKUP(C953,'Objekt Aufstellung'!$A$2:$B$51,2))</f>
        <v>Neumühler Straße 41</v>
      </c>
      <c r="E953" s="49" t="s">
        <v>693</v>
      </c>
      <c r="F953" s="49" t="s">
        <v>2082</v>
      </c>
      <c r="G953" s="50" t="s">
        <v>2083</v>
      </c>
      <c r="H953" s="49" t="s">
        <v>13</v>
      </c>
      <c r="I953" s="51" t="s">
        <v>2080</v>
      </c>
      <c r="J953" s="21"/>
      <c r="K953" s="52"/>
      <c r="L953"/>
      <c r="M953"/>
      <c r="N953"/>
      <c r="O953"/>
      <c r="P953"/>
    </row>
    <row r="954" spans="1:16" s="53" customFormat="1" ht="16" x14ac:dyDescent="0.2">
      <c r="A954" s="16" t="s">
        <v>2036</v>
      </c>
      <c r="B954" s="48">
        <v>44001</v>
      </c>
      <c r="C954" s="47">
        <v>5</v>
      </c>
      <c r="D954" s="17" t="str">
        <f>IF(C954="","",VLOOKUP(C954,'Objekt Aufstellung'!$A$2:$B$51,2))</f>
        <v>Luisenstraße 3</v>
      </c>
      <c r="E954" s="49" t="s">
        <v>657</v>
      </c>
      <c r="F954" s="49"/>
      <c r="G954" s="50" t="s">
        <v>2084</v>
      </c>
      <c r="H954" s="49" t="s">
        <v>13</v>
      </c>
      <c r="I954" s="51" t="s">
        <v>167</v>
      </c>
      <c r="J954" s="21" t="s">
        <v>167</v>
      </c>
      <c r="K954" s="52"/>
      <c r="L954"/>
      <c r="M954"/>
      <c r="N954"/>
      <c r="O954"/>
      <c r="P954"/>
    </row>
    <row r="955" spans="1:16" s="53" customFormat="1" ht="16" x14ac:dyDescent="0.2">
      <c r="A955" s="16" t="s">
        <v>2037</v>
      </c>
      <c r="B955" s="48">
        <v>44001</v>
      </c>
      <c r="C955" s="47">
        <v>19</v>
      </c>
      <c r="D955" s="17" t="str">
        <f>IF(C955="","",VLOOKUP(C955,'Objekt Aufstellung'!$A$2:$B$51,2))</f>
        <v>Alte Bachstraße 25</v>
      </c>
      <c r="E955" s="51" t="s">
        <v>434</v>
      </c>
      <c r="F955" s="49" t="s">
        <v>2085</v>
      </c>
      <c r="G955" s="50" t="s">
        <v>2086</v>
      </c>
      <c r="H955" s="49" t="s">
        <v>13</v>
      </c>
      <c r="I955" s="51" t="s">
        <v>14</v>
      </c>
      <c r="J955" s="21" t="s">
        <v>14</v>
      </c>
      <c r="K955" s="52"/>
      <c r="L955"/>
      <c r="M955"/>
      <c r="N955"/>
      <c r="O955"/>
      <c r="P955"/>
    </row>
    <row r="956" spans="1:16" s="53" customFormat="1" ht="16" x14ac:dyDescent="0.2">
      <c r="A956" s="16" t="s">
        <v>2038</v>
      </c>
      <c r="B956" s="48">
        <v>44013</v>
      </c>
      <c r="C956" s="47">
        <v>39</v>
      </c>
      <c r="D956" s="17" t="str">
        <f>IF(C956="","",VLOOKUP(C956,'Objekt Aufstellung'!$A$2:$B$51,2))</f>
        <v>Metzer Straße 28</v>
      </c>
      <c r="E956" s="49" t="s">
        <v>16</v>
      </c>
      <c r="F956" s="49" t="s">
        <v>2148</v>
      </c>
      <c r="G956" s="50" t="s">
        <v>2087</v>
      </c>
      <c r="H956" s="49" t="s">
        <v>13</v>
      </c>
      <c r="I956" s="51" t="s">
        <v>232</v>
      </c>
      <c r="J956" s="21" t="s">
        <v>232</v>
      </c>
      <c r="K956" s="52"/>
      <c r="L956"/>
      <c r="M956"/>
      <c r="N956"/>
      <c r="O956"/>
      <c r="P956"/>
    </row>
    <row r="957" spans="1:16" s="53" customFormat="1" ht="16" x14ac:dyDescent="0.2">
      <c r="A957" s="16" t="s">
        <v>2039</v>
      </c>
      <c r="B957" s="48">
        <v>44004</v>
      </c>
      <c r="C957" s="47">
        <v>48</v>
      </c>
      <c r="D957" s="17" t="str">
        <f>IF(C957="","",VLOOKUP(C957,'Objekt Aufstellung'!$A$2:$B$51,2))</f>
        <v>Mendelsohnstraße 3</v>
      </c>
      <c r="E957" s="49" t="s">
        <v>146</v>
      </c>
      <c r="F957" s="49" t="s">
        <v>2088</v>
      </c>
      <c r="G957" s="50" t="s">
        <v>2089</v>
      </c>
      <c r="H957" s="49" t="s">
        <v>23</v>
      </c>
      <c r="I957" s="51" t="s">
        <v>14</v>
      </c>
      <c r="J957" s="21" t="s">
        <v>14</v>
      </c>
      <c r="K957" s="52"/>
      <c r="L957"/>
      <c r="M957"/>
      <c r="N957"/>
      <c r="O957"/>
      <c r="P957"/>
    </row>
    <row r="958" spans="1:16" s="53" customFormat="1" ht="16" x14ac:dyDescent="0.2">
      <c r="A958" s="16" t="s">
        <v>2040</v>
      </c>
      <c r="B958" s="48">
        <v>44005</v>
      </c>
      <c r="C958" s="47">
        <v>11</v>
      </c>
      <c r="D958" s="17" t="str">
        <f>IF(C958="","",VLOOKUP(C958,'Objekt Aufstellung'!$A$2:$B$51,2))</f>
        <v>Kölner Landstraße 261</v>
      </c>
      <c r="E958" s="49" t="s">
        <v>10</v>
      </c>
      <c r="F958" s="49" t="s">
        <v>2110</v>
      </c>
      <c r="G958" s="50" t="s">
        <v>2111</v>
      </c>
      <c r="H958" s="49" t="s">
        <v>13</v>
      </c>
      <c r="I958" s="21" t="s">
        <v>706</v>
      </c>
      <c r="J958" s="21" t="s">
        <v>706</v>
      </c>
      <c r="K958" s="52"/>
      <c r="L958"/>
      <c r="M958"/>
      <c r="N958"/>
      <c r="O958"/>
      <c r="P958"/>
    </row>
    <row r="959" spans="1:16" s="53" customFormat="1" ht="16" x14ac:dyDescent="0.2">
      <c r="A959" s="16" t="s">
        <v>2041</v>
      </c>
      <c r="B959" s="48">
        <v>44001</v>
      </c>
      <c r="C959" s="47">
        <v>37</v>
      </c>
      <c r="D959" s="17" t="str">
        <f>IF(C959="","",VLOOKUP(C959,'Objekt Aufstellung'!$A$2:$B$51,2))</f>
        <v>Lintorfer Waldstraße 10</v>
      </c>
      <c r="E959" s="49" t="s">
        <v>2112</v>
      </c>
      <c r="F959" s="49"/>
      <c r="G959" s="50" t="s">
        <v>2113</v>
      </c>
      <c r="H959" s="49" t="s">
        <v>13</v>
      </c>
      <c r="I959" s="51" t="s">
        <v>181</v>
      </c>
      <c r="J959" s="21" t="s">
        <v>181</v>
      </c>
      <c r="K959" s="52"/>
      <c r="L959"/>
      <c r="M959"/>
      <c r="N959"/>
      <c r="O959"/>
      <c r="P959"/>
    </row>
    <row r="960" spans="1:16" ht="16" x14ac:dyDescent="0.2">
      <c r="A960" s="16" t="s">
        <v>2042</v>
      </c>
      <c r="B960" s="48">
        <v>44008</v>
      </c>
      <c r="C960" s="47">
        <v>7</v>
      </c>
      <c r="D960" s="17" t="str">
        <f>IF(C960="","",VLOOKUP(C960,'Objekt Aufstellung'!$A$2:$B$51,2))</f>
        <v>Engerstraße 3</v>
      </c>
      <c r="E960" s="49" t="s">
        <v>264</v>
      </c>
      <c r="F960" s="49"/>
      <c r="G960" s="50" t="s">
        <v>2114</v>
      </c>
      <c r="H960" s="49" t="s">
        <v>13</v>
      </c>
      <c r="I960" s="51" t="s">
        <v>181</v>
      </c>
      <c r="J960" s="21" t="s">
        <v>181</v>
      </c>
      <c r="K960" s="52"/>
    </row>
    <row r="961" spans="1:16" ht="16" x14ac:dyDescent="0.2">
      <c r="A961" s="16" t="s">
        <v>2043</v>
      </c>
      <c r="B961" s="48">
        <v>44008</v>
      </c>
      <c r="C961" s="47">
        <v>48</v>
      </c>
      <c r="D961" s="17" t="str">
        <f>IF(C961="","",VLOOKUP(C961,'Objekt Aufstellung'!$A$2:$B$51,2))</f>
        <v>Mendelsohnstraße 3</v>
      </c>
      <c r="E961" s="49" t="s">
        <v>693</v>
      </c>
      <c r="F961" s="49" t="s">
        <v>17</v>
      </c>
      <c r="G961" s="50" t="s">
        <v>2115</v>
      </c>
      <c r="H961" s="49" t="s">
        <v>13</v>
      </c>
      <c r="I961" s="51" t="s">
        <v>71</v>
      </c>
      <c r="J961" s="21" t="s">
        <v>71</v>
      </c>
    </row>
    <row r="962" spans="1:16" ht="16" x14ac:dyDescent="0.2">
      <c r="A962" s="16" t="s">
        <v>2044</v>
      </c>
      <c r="B962" s="48">
        <v>44008</v>
      </c>
      <c r="C962" s="47">
        <v>18</v>
      </c>
      <c r="D962" s="17" t="str">
        <f>IF(C962="","",VLOOKUP(C962,'Objekt Aufstellung'!$A$2:$B$51,2))</f>
        <v>Kölner Straße 217</v>
      </c>
      <c r="E962" s="49" t="s">
        <v>138</v>
      </c>
      <c r="F962" s="49" t="s">
        <v>449</v>
      </c>
      <c r="G962" s="50" t="s">
        <v>2116</v>
      </c>
      <c r="H962" s="49" t="s">
        <v>13</v>
      </c>
      <c r="I962" s="51" t="s">
        <v>119</v>
      </c>
      <c r="J962" s="21" t="s">
        <v>119</v>
      </c>
    </row>
    <row r="963" spans="1:16" ht="16" x14ac:dyDescent="0.2">
      <c r="A963" s="16" t="s">
        <v>2045</v>
      </c>
      <c r="B963" s="48">
        <v>44008</v>
      </c>
      <c r="C963" s="47">
        <v>25</v>
      </c>
      <c r="D963" s="17" t="str">
        <f>IF(C963="","",VLOOKUP(C963,'Objekt Aufstellung'!$A$2:$B$51,2))</f>
        <v>Koppelskamp 10</v>
      </c>
      <c r="E963" s="49" t="s">
        <v>264</v>
      </c>
      <c r="F963" s="49"/>
      <c r="G963" s="50" t="s">
        <v>2117</v>
      </c>
      <c r="H963" s="49" t="s">
        <v>13</v>
      </c>
      <c r="I963" s="51" t="s">
        <v>955</v>
      </c>
      <c r="J963" s="51" t="s">
        <v>955</v>
      </c>
    </row>
    <row r="964" spans="1:16" ht="16" x14ac:dyDescent="0.2">
      <c r="A964" s="16" t="s">
        <v>2046</v>
      </c>
      <c r="B964" s="48">
        <v>44011</v>
      </c>
      <c r="C964" s="47">
        <v>19</v>
      </c>
      <c r="D964" s="17" t="str">
        <f>IF(C964="","",VLOOKUP(C964,'Objekt Aufstellung'!$A$2:$B$51,2))</f>
        <v>Alte Bachstraße 25</v>
      </c>
      <c r="E964" s="49" t="s">
        <v>2118</v>
      </c>
      <c r="F964" s="49" t="s">
        <v>2119</v>
      </c>
      <c r="G964" s="50" t="s">
        <v>2120</v>
      </c>
      <c r="H964" s="49" t="s">
        <v>13</v>
      </c>
      <c r="I964" s="51" t="s">
        <v>84</v>
      </c>
      <c r="J964" s="21" t="s">
        <v>84</v>
      </c>
    </row>
    <row r="965" spans="1:16" ht="16" x14ac:dyDescent="0.2">
      <c r="A965" s="16" t="s">
        <v>2047</v>
      </c>
      <c r="B965" s="48">
        <v>44011</v>
      </c>
      <c r="C965" s="47">
        <v>9</v>
      </c>
      <c r="D965" s="17" t="str">
        <f>IF(C965="","",VLOOKUP(C965,'Objekt Aufstellung'!$A$2:$B$51,2))</f>
        <v>Stockkampstraße 47</v>
      </c>
      <c r="E965" s="49" t="s">
        <v>10</v>
      </c>
      <c r="F965" s="49" t="s">
        <v>2121</v>
      </c>
      <c r="G965" s="50" t="s">
        <v>2122</v>
      </c>
      <c r="H965" s="49" t="s">
        <v>13</v>
      </c>
      <c r="I965" s="51" t="s">
        <v>119</v>
      </c>
      <c r="J965" s="21"/>
    </row>
    <row r="966" spans="1:16" ht="16" x14ac:dyDescent="0.2">
      <c r="A966" s="16" t="s">
        <v>2090</v>
      </c>
      <c r="B966" s="34">
        <v>44011</v>
      </c>
      <c r="C966" s="16">
        <v>48</v>
      </c>
      <c r="D966" s="17" t="str">
        <f>IF(C966="","",VLOOKUP(C966,'Objekt Aufstellung'!$A$2:$B$51,2))</f>
        <v>Mendelsohnstraße 3</v>
      </c>
      <c r="E966" s="17" t="s">
        <v>693</v>
      </c>
      <c r="F966" s="17" t="s">
        <v>17</v>
      </c>
      <c r="G966" s="18" t="s">
        <v>2123</v>
      </c>
      <c r="H966" s="17" t="s">
        <v>13</v>
      </c>
      <c r="I966" s="23" t="s">
        <v>200</v>
      </c>
      <c r="J966" s="21" t="s">
        <v>200</v>
      </c>
    </row>
    <row r="967" spans="1:16" ht="16" x14ac:dyDescent="0.2">
      <c r="A967" s="16" t="s">
        <v>2091</v>
      </c>
      <c r="B967" s="34">
        <v>44012</v>
      </c>
      <c r="C967" s="16">
        <v>10</v>
      </c>
      <c r="D967" s="17" t="str">
        <f>IF(C967="","",VLOOKUP(C967,'Objekt Aufstellung'!$A$2:$B$51,2))</f>
        <v>Driburger Straße 8</v>
      </c>
      <c r="E967" s="17" t="s">
        <v>32</v>
      </c>
      <c r="F967" s="17" t="s">
        <v>2124</v>
      </c>
      <c r="G967" s="18" t="s">
        <v>2125</v>
      </c>
      <c r="H967" s="17" t="s">
        <v>13</v>
      </c>
      <c r="I967" s="21" t="s">
        <v>312</v>
      </c>
      <c r="J967" s="21" t="s">
        <v>312</v>
      </c>
    </row>
    <row r="968" spans="1:16" ht="16" x14ac:dyDescent="0.2">
      <c r="A968" s="16" t="s">
        <v>2092</v>
      </c>
      <c r="B968" s="34">
        <v>44012</v>
      </c>
      <c r="C968" s="16">
        <v>34</v>
      </c>
      <c r="D968" s="17" t="str">
        <f>IF(C968="","",VLOOKUP(C968,'Objekt Aufstellung'!$A$2:$B$51,2))</f>
        <v>Koppelskamp 7</v>
      </c>
      <c r="E968" s="17" t="s">
        <v>685</v>
      </c>
      <c r="F968" s="17" t="s">
        <v>686</v>
      </c>
      <c r="G968" s="18" t="s">
        <v>2126</v>
      </c>
      <c r="H968" s="17" t="s">
        <v>13</v>
      </c>
      <c r="I968" s="23" t="s">
        <v>411</v>
      </c>
      <c r="J968" s="21"/>
    </row>
    <row r="969" spans="1:16" ht="16" x14ac:dyDescent="0.2">
      <c r="A969" s="16" t="s">
        <v>2093</v>
      </c>
      <c r="B969" s="34">
        <v>44012</v>
      </c>
      <c r="C969" s="16">
        <v>40</v>
      </c>
      <c r="D969" s="17" t="str">
        <f>IF(C969="","",VLOOKUP(C969,'Objekt Aufstellung'!$A$2:$B$51,2))</f>
        <v>Metzer Straße 28a</v>
      </c>
      <c r="E969" s="17" t="s">
        <v>2127</v>
      </c>
      <c r="F969" s="17"/>
      <c r="G969" s="18" t="s">
        <v>2128</v>
      </c>
      <c r="H969" s="17" t="s">
        <v>13</v>
      </c>
      <c r="I969" s="21" t="s">
        <v>423</v>
      </c>
      <c r="J969" s="21" t="s">
        <v>423</v>
      </c>
    </row>
    <row r="970" spans="1:16" ht="16" x14ac:dyDescent="0.2">
      <c r="A970" s="16" t="s">
        <v>2094</v>
      </c>
      <c r="B970" s="34">
        <v>43997</v>
      </c>
      <c r="C970" s="16">
        <v>12</v>
      </c>
      <c r="D970" s="17" t="str">
        <f>IF(C970="","",VLOOKUP(C970,'Objekt Aufstellung'!$A$2:$B$51,2))</f>
        <v>Merowingerstr. 17</v>
      </c>
      <c r="E970" s="17" t="s">
        <v>78</v>
      </c>
      <c r="F970" s="17" t="s">
        <v>2129</v>
      </c>
      <c r="G970" s="18" t="s">
        <v>2130</v>
      </c>
      <c r="H970" s="17" t="s">
        <v>13</v>
      </c>
      <c r="I970" s="23" t="s">
        <v>272</v>
      </c>
      <c r="J970" s="21" t="s">
        <v>272</v>
      </c>
    </row>
    <row r="971" spans="1:16" s="53" customFormat="1" ht="16" x14ac:dyDescent="0.2">
      <c r="A971" s="16" t="s">
        <v>2095</v>
      </c>
      <c r="B971" s="34">
        <v>44013</v>
      </c>
      <c r="C971" s="16">
        <v>27</v>
      </c>
      <c r="D971" s="17" t="str">
        <f>IF(C971="","",VLOOKUP(C971,'Objekt Aufstellung'!$A$2:$B$51,2))</f>
        <v>Koppelskamp 14</v>
      </c>
      <c r="E971" s="17" t="s">
        <v>467</v>
      </c>
      <c r="F971" s="17" t="s">
        <v>2146</v>
      </c>
      <c r="G971" s="18" t="s">
        <v>2147</v>
      </c>
      <c r="H971" s="17" t="s">
        <v>13</v>
      </c>
      <c r="I971" s="23" t="s">
        <v>14</v>
      </c>
      <c r="J971" s="21" t="s">
        <v>14</v>
      </c>
      <c r="K971" s="52"/>
      <c r="L971"/>
      <c r="M971"/>
      <c r="N971"/>
      <c r="O971"/>
      <c r="P971"/>
    </row>
    <row r="972" spans="1:16" s="53" customFormat="1" ht="16" x14ac:dyDescent="0.2">
      <c r="A972" s="16" t="s">
        <v>2096</v>
      </c>
      <c r="B972" s="34">
        <v>44014</v>
      </c>
      <c r="C972" s="16">
        <v>44</v>
      </c>
      <c r="D972" s="17" t="str">
        <f>IF(C972="","",VLOOKUP(C972,'Objekt Aufstellung'!$A$2:$B$51,2))</f>
        <v>Neumühler Straße 37</v>
      </c>
      <c r="E972" s="17" t="s">
        <v>138</v>
      </c>
      <c r="F972" s="17" t="s">
        <v>2149</v>
      </c>
      <c r="G972" s="18" t="s">
        <v>2150</v>
      </c>
      <c r="H972" s="17" t="s">
        <v>13</v>
      </c>
      <c r="I972" s="23" t="s">
        <v>543</v>
      </c>
      <c r="J972" s="21" t="s">
        <v>543</v>
      </c>
      <c r="K972" s="52"/>
      <c r="L972"/>
      <c r="M972"/>
      <c r="N972"/>
      <c r="O972"/>
      <c r="P972"/>
    </row>
    <row r="973" spans="1:16" s="53" customFormat="1" ht="16" x14ac:dyDescent="0.2">
      <c r="A973" s="16" t="s">
        <v>2097</v>
      </c>
      <c r="B973" s="34">
        <v>44014</v>
      </c>
      <c r="C973" s="16">
        <v>24</v>
      </c>
      <c r="D973" s="17" t="str">
        <f>IF(C973="","",VLOOKUP(C973,'Objekt Aufstellung'!$A$2:$B$51,2))</f>
        <v>Angerbenden 31</v>
      </c>
      <c r="E973" s="17" t="s">
        <v>291</v>
      </c>
      <c r="F973" s="17"/>
      <c r="G973" s="18" t="s">
        <v>2151</v>
      </c>
      <c r="H973" s="17" t="s">
        <v>13</v>
      </c>
      <c r="I973" s="23" t="s">
        <v>2080</v>
      </c>
      <c r="J973" s="21" t="s">
        <v>2080</v>
      </c>
      <c r="K973" s="52"/>
      <c r="L973"/>
      <c r="M973"/>
      <c r="N973"/>
      <c r="O973"/>
      <c r="P973"/>
    </row>
    <row r="974" spans="1:16" s="53" customFormat="1" ht="16" x14ac:dyDescent="0.2">
      <c r="A974" s="16" t="s">
        <v>2098</v>
      </c>
      <c r="B974" s="34">
        <v>44014</v>
      </c>
      <c r="C974" s="16">
        <v>5</v>
      </c>
      <c r="D974" s="17" t="str">
        <f>IF(C974="","",VLOOKUP(C974,'Objekt Aufstellung'!$A$2:$B$51,2))</f>
        <v>Luisenstraße 3</v>
      </c>
      <c r="E974" s="17" t="s">
        <v>94</v>
      </c>
      <c r="F974" s="17" t="s">
        <v>2152</v>
      </c>
      <c r="G974" s="18" t="s">
        <v>2153</v>
      </c>
      <c r="H974" s="17" t="s">
        <v>13</v>
      </c>
      <c r="I974" s="23" t="s">
        <v>181</v>
      </c>
      <c r="J974" s="21" t="s">
        <v>181</v>
      </c>
      <c r="K974" s="52"/>
      <c r="L974"/>
      <c r="M974"/>
      <c r="N974"/>
      <c r="O974"/>
      <c r="P974"/>
    </row>
    <row r="975" spans="1:16" s="53" customFormat="1" ht="16" x14ac:dyDescent="0.2">
      <c r="A975" s="16" t="s">
        <v>2099</v>
      </c>
      <c r="B975" s="34">
        <v>44014</v>
      </c>
      <c r="C975" s="16">
        <v>25</v>
      </c>
      <c r="D975" s="17" t="str">
        <f>IF(C975="","",VLOOKUP(C975,'Objekt Aufstellung'!$A$2:$B$51,2))</f>
        <v>Koppelskamp 10</v>
      </c>
      <c r="E975" s="17" t="s">
        <v>43</v>
      </c>
      <c r="F975" s="17"/>
      <c r="G975" s="18" t="s">
        <v>2154</v>
      </c>
      <c r="H975" s="17" t="s">
        <v>13</v>
      </c>
      <c r="I975" s="36" t="s">
        <v>706</v>
      </c>
      <c r="J975" s="36" t="s">
        <v>706</v>
      </c>
      <c r="K975" s="52"/>
      <c r="L975"/>
      <c r="M975"/>
      <c r="N975"/>
      <c r="O975"/>
      <c r="P975"/>
    </row>
    <row r="976" spans="1:16" s="53" customFormat="1" ht="16" x14ac:dyDescent="0.2">
      <c r="A976" s="16" t="s">
        <v>2100</v>
      </c>
      <c r="B976" s="48">
        <v>44014</v>
      </c>
      <c r="C976" s="47">
        <v>26</v>
      </c>
      <c r="D976" s="17" t="str">
        <f>IF(C976="","",VLOOKUP(C976,'Objekt Aufstellung'!$A$2:$B$51,2))</f>
        <v>Koppelskamp 12</v>
      </c>
      <c r="E976" s="61" t="s">
        <v>43</v>
      </c>
      <c r="F976" s="51"/>
      <c r="G976" s="50" t="s">
        <v>2155</v>
      </c>
      <c r="H976" s="49" t="s">
        <v>13</v>
      </c>
      <c r="I976" s="36" t="s">
        <v>706</v>
      </c>
      <c r="J976" s="21" t="s">
        <v>706</v>
      </c>
      <c r="K976" s="52"/>
      <c r="L976"/>
      <c r="M976"/>
      <c r="N976"/>
      <c r="O976"/>
      <c r="P976"/>
    </row>
    <row r="977" spans="1:16" s="53" customFormat="1" ht="16" x14ac:dyDescent="0.2">
      <c r="A977" s="16" t="s">
        <v>2101</v>
      </c>
      <c r="B977" s="48">
        <v>44014</v>
      </c>
      <c r="C977" s="47">
        <v>25</v>
      </c>
      <c r="D977" s="17" t="str">
        <f>IF(C977="","",VLOOKUP(C977,'Objekt Aufstellung'!$A$2:$B$51,2))</f>
        <v>Koppelskamp 10</v>
      </c>
      <c r="E977" s="49" t="s">
        <v>693</v>
      </c>
      <c r="F977" s="49" t="s">
        <v>2156</v>
      </c>
      <c r="G977" s="50" t="s">
        <v>2157</v>
      </c>
      <c r="H977" s="49" t="s">
        <v>13</v>
      </c>
      <c r="I977" s="36" t="s">
        <v>706</v>
      </c>
      <c r="J977" s="36" t="s">
        <v>706</v>
      </c>
      <c r="K977" s="52"/>
      <c r="L977"/>
      <c r="M977"/>
      <c r="N977"/>
      <c r="O977"/>
      <c r="P977"/>
    </row>
    <row r="978" spans="1:16" ht="16" x14ac:dyDescent="0.2">
      <c r="A978" s="16" t="s">
        <v>2102</v>
      </c>
      <c r="B978" s="48">
        <v>44014</v>
      </c>
      <c r="C978" s="47">
        <v>33</v>
      </c>
      <c r="D978" s="17" t="str">
        <f>IF(C978="","",VLOOKUP(C978,'Objekt Aufstellung'!$A$2:$B$51,2))</f>
        <v>Koppelskamp 5a</v>
      </c>
      <c r="E978" s="49" t="s">
        <v>138</v>
      </c>
      <c r="F978" s="49" t="s">
        <v>2158</v>
      </c>
      <c r="G978" s="50" t="s">
        <v>2159</v>
      </c>
      <c r="H978" s="49" t="s">
        <v>13</v>
      </c>
      <c r="I978" s="36" t="s">
        <v>921</v>
      </c>
      <c r="J978" s="36" t="s">
        <v>921</v>
      </c>
    </row>
    <row r="979" spans="1:16" ht="16" x14ac:dyDescent="0.2">
      <c r="A979" s="16" t="s">
        <v>2103</v>
      </c>
      <c r="B979" s="48">
        <v>44014</v>
      </c>
      <c r="C979" s="47">
        <v>24</v>
      </c>
      <c r="D979" s="17" t="str">
        <f>IF(C979="","",VLOOKUP(C979,'Objekt Aufstellung'!$A$2:$B$51,2))</f>
        <v>Angerbenden 31</v>
      </c>
      <c r="E979" s="49" t="s">
        <v>138</v>
      </c>
      <c r="F979" s="49" t="s">
        <v>1946</v>
      </c>
      <c r="G979" s="50" t="s">
        <v>2160</v>
      </c>
      <c r="H979" s="49" t="s">
        <v>13</v>
      </c>
      <c r="I979" s="51" t="s">
        <v>30</v>
      </c>
      <c r="J979" s="21" t="s">
        <v>30</v>
      </c>
    </row>
    <row r="980" spans="1:16" ht="16" x14ac:dyDescent="0.2">
      <c r="A980" s="16" t="s">
        <v>2104</v>
      </c>
      <c r="B980" s="48">
        <v>44018</v>
      </c>
      <c r="C980" s="47">
        <v>19</v>
      </c>
      <c r="D980" s="17" t="str">
        <f>IF(C980="","",VLOOKUP(C980,'Objekt Aufstellung'!$A$2:$B$51,2))</f>
        <v>Alte Bachstraße 25</v>
      </c>
      <c r="E980" s="49" t="s">
        <v>2161</v>
      </c>
      <c r="F980" s="49" t="s">
        <v>2162</v>
      </c>
      <c r="G980" s="50" t="s">
        <v>2163</v>
      </c>
      <c r="H980" s="49" t="s">
        <v>13</v>
      </c>
      <c r="I980" s="51" t="s">
        <v>200</v>
      </c>
      <c r="J980" s="51" t="s">
        <v>200</v>
      </c>
    </row>
    <row r="981" spans="1:16" ht="16" x14ac:dyDescent="0.2">
      <c r="A981" s="16" t="s">
        <v>2105</v>
      </c>
      <c r="B981" s="48">
        <v>44019</v>
      </c>
      <c r="C981" s="47">
        <v>23</v>
      </c>
      <c r="D981" s="17" t="str">
        <f>IF(C981="","",VLOOKUP(C981,'Objekt Aufstellung'!$A$2:$B$51,2))</f>
        <v>Börnestraße 2</v>
      </c>
      <c r="E981" s="60" t="s">
        <v>256</v>
      </c>
      <c r="F981" s="49" t="s">
        <v>2164</v>
      </c>
      <c r="G981" s="50" t="s">
        <v>2165</v>
      </c>
      <c r="H981" s="49" t="s">
        <v>13</v>
      </c>
      <c r="I981" s="36" t="s">
        <v>921</v>
      </c>
      <c r="J981" s="21" t="s">
        <v>921</v>
      </c>
    </row>
    <row r="982" spans="1:16" ht="16" x14ac:dyDescent="0.2">
      <c r="A982" s="16" t="s">
        <v>2106</v>
      </c>
      <c r="B982" s="48">
        <v>44019</v>
      </c>
      <c r="C982" s="47">
        <v>8</v>
      </c>
      <c r="D982" s="17" t="str">
        <f>IF(C982="","",VLOOKUP(C982,'Objekt Aufstellung'!$A$2:$B$51,2))</f>
        <v>Schützenstraße 20</v>
      </c>
      <c r="E982" s="49" t="s">
        <v>149</v>
      </c>
      <c r="F982" s="49" t="s">
        <v>2166</v>
      </c>
      <c r="G982" s="50" t="s">
        <v>2167</v>
      </c>
      <c r="H982" s="49" t="s">
        <v>13</v>
      </c>
      <c r="I982" s="51" t="s">
        <v>48</v>
      </c>
      <c r="J982" s="21" t="s">
        <v>48</v>
      </c>
    </row>
    <row r="983" spans="1:16" ht="16" x14ac:dyDescent="0.2">
      <c r="A983" s="16" t="s">
        <v>2107</v>
      </c>
      <c r="B983" s="48">
        <v>44020</v>
      </c>
      <c r="C983" s="47">
        <v>30</v>
      </c>
      <c r="D983" s="17" t="str">
        <f>IF(C983="","",VLOOKUP(C983,'Objekt Aufstellung'!$A$2:$B$51,2))</f>
        <v>Memelstraße 43</v>
      </c>
      <c r="E983" s="49" t="s">
        <v>256</v>
      </c>
      <c r="F983" s="49" t="s">
        <v>1510</v>
      </c>
      <c r="G983" s="50" t="s">
        <v>1195</v>
      </c>
      <c r="H983" s="49" t="s">
        <v>13</v>
      </c>
      <c r="I983" s="51" t="s">
        <v>30</v>
      </c>
      <c r="J983" s="21" t="s">
        <v>30</v>
      </c>
    </row>
    <row r="984" spans="1:16" ht="16" x14ac:dyDescent="0.2">
      <c r="A984" s="16" t="s">
        <v>2108</v>
      </c>
      <c r="B984" s="48">
        <v>44020</v>
      </c>
      <c r="C984" s="47">
        <v>42</v>
      </c>
      <c r="D984" s="17" t="str">
        <f>IF(C984="","",VLOOKUP(C984,'Objekt Aufstellung'!$A$2:$B$51,2))</f>
        <v>Metzer Straße 17</v>
      </c>
      <c r="E984" s="49" t="s">
        <v>665</v>
      </c>
      <c r="F984" s="49" t="s">
        <v>17</v>
      </c>
      <c r="G984" s="50" t="s">
        <v>61</v>
      </c>
      <c r="H984" s="49" t="s">
        <v>13</v>
      </c>
      <c r="I984" s="51" t="s">
        <v>14</v>
      </c>
      <c r="J984" s="21" t="s">
        <v>114</v>
      </c>
    </row>
    <row r="985" spans="1:16" ht="16" x14ac:dyDescent="0.2">
      <c r="A985" s="16" t="s">
        <v>2109</v>
      </c>
      <c r="B985" s="48">
        <v>44022</v>
      </c>
      <c r="C985" s="47">
        <v>16</v>
      </c>
      <c r="D985" s="17" t="str">
        <f>IF(C985="","",VLOOKUP(C985,'Objekt Aufstellung'!$A$2:$B$51,2))</f>
        <v>Hoppengarten 17</v>
      </c>
      <c r="E985" s="49" t="s">
        <v>637</v>
      </c>
      <c r="F985" s="49" t="s">
        <v>2168</v>
      </c>
      <c r="G985" s="50" t="s">
        <v>1519</v>
      </c>
      <c r="H985" s="49" t="s">
        <v>13</v>
      </c>
      <c r="I985" s="51" t="s">
        <v>329</v>
      </c>
      <c r="J985" s="21" t="s">
        <v>329</v>
      </c>
    </row>
    <row r="986" spans="1:16" ht="16" x14ac:dyDescent="0.2">
      <c r="A986" s="16" t="s">
        <v>2131</v>
      </c>
      <c r="B986" s="48">
        <v>44022</v>
      </c>
      <c r="C986" s="47">
        <v>35</v>
      </c>
      <c r="D986" s="17" t="str">
        <f>IF(C986="","",VLOOKUP(C986,'Objekt Aufstellung'!$A$2:$B$51,2))</f>
        <v>Lintorfer Waldstraße 6</v>
      </c>
      <c r="E986" s="49" t="s">
        <v>138</v>
      </c>
      <c r="F986" s="49" t="s">
        <v>2169</v>
      </c>
      <c r="G986" s="50" t="s">
        <v>2170</v>
      </c>
      <c r="H986" s="49" t="s">
        <v>13</v>
      </c>
      <c r="I986" s="51" t="s">
        <v>181</v>
      </c>
      <c r="J986" s="21" t="s">
        <v>181</v>
      </c>
    </row>
    <row r="987" spans="1:16" ht="16" x14ac:dyDescent="0.2">
      <c r="A987" s="16" t="s">
        <v>2132</v>
      </c>
      <c r="B987" s="34">
        <v>44025</v>
      </c>
      <c r="C987" s="16">
        <v>32</v>
      </c>
      <c r="D987" s="17" t="str">
        <f>IF(C987="","",VLOOKUP(C987,'Objekt Aufstellung'!$A$2:$B$51,2))</f>
        <v>Koppelskamp 5</v>
      </c>
      <c r="E987" s="17" t="s">
        <v>657</v>
      </c>
      <c r="F987" s="17"/>
      <c r="G987" s="50" t="s">
        <v>2171</v>
      </c>
      <c r="H987" s="49" t="s">
        <v>13</v>
      </c>
      <c r="I987" s="51" t="s">
        <v>14</v>
      </c>
      <c r="J987" s="21" t="s">
        <v>14</v>
      </c>
    </row>
    <row r="988" spans="1:16" ht="16" x14ac:dyDescent="0.2">
      <c r="A988" s="16" t="s">
        <v>2133</v>
      </c>
      <c r="B988" s="48">
        <v>44026</v>
      </c>
      <c r="C988" s="47">
        <v>9</v>
      </c>
      <c r="D988" s="17" t="str">
        <f>IF(C988="","",VLOOKUP(C988,'Objekt Aufstellung'!$A$2:$B$51,2))</f>
        <v>Stockkampstraße 47</v>
      </c>
      <c r="E988" s="49" t="s">
        <v>10</v>
      </c>
      <c r="F988" s="49" t="s">
        <v>776</v>
      </c>
      <c r="G988" s="50" t="s">
        <v>2172</v>
      </c>
      <c r="H988" s="49" t="s">
        <v>13</v>
      </c>
      <c r="I988" s="51" t="s">
        <v>914</v>
      </c>
      <c r="J988" s="21" t="s">
        <v>914</v>
      </c>
    </row>
    <row r="989" spans="1:16" ht="16" x14ac:dyDescent="0.2">
      <c r="A989" s="16" t="s">
        <v>2134</v>
      </c>
      <c r="B989" s="48">
        <v>44026</v>
      </c>
      <c r="C989" s="47">
        <v>30</v>
      </c>
      <c r="D989" s="17" t="str">
        <f>IF(C989="","",VLOOKUP(C989,'Objekt Aufstellung'!$A$2:$B$51,2))</f>
        <v>Memelstraße 43</v>
      </c>
      <c r="E989" s="49" t="s">
        <v>2173</v>
      </c>
      <c r="F989" s="49" t="s">
        <v>2174</v>
      </c>
      <c r="G989" s="50" t="s">
        <v>2175</v>
      </c>
      <c r="H989" s="49" t="s">
        <v>13</v>
      </c>
      <c r="I989" s="51" t="s">
        <v>960</v>
      </c>
      <c r="J989" s="21" t="s">
        <v>960</v>
      </c>
    </row>
    <row r="990" spans="1:16" ht="16" x14ac:dyDescent="0.2">
      <c r="A990" s="16" t="s">
        <v>2135</v>
      </c>
      <c r="B990" s="34">
        <v>44027</v>
      </c>
      <c r="C990" s="16">
        <v>18</v>
      </c>
      <c r="D990" s="17" t="str">
        <f>IF(C990="","",VLOOKUP(C990,'Objekt Aufstellung'!$A$2:$B$51,2))</f>
        <v>Kölner Straße 217</v>
      </c>
      <c r="E990" s="17" t="s">
        <v>523</v>
      </c>
      <c r="F990" s="17"/>
      <c r="G990" s="50" t="s">
        <v>2190</v>
      </c>
      <c r="H990" s="49" t="s">
        <v>13</v>
      </c>
      <c r="I990" s="51" t="s">
        <v>955</v>
      </c>
      <c r="J990" s="21" t="s">
        <v>955</v>
      </c>
    </row>
    <row r="991" spans="1:16" ht="16" x14ac:dyDescent="0.2">
      <c r="A991" s="16" t="s">
        <v>2136</v>
      </c>
      <c r="B991" s="48">
        <v>44027</v>
      </c>
      <c r="C991" s="47">
        <v>14</v>
      </c>
      <c r="D991" s="17" t="str">
        <f>IF(C991="","",VLOOKUP(C991,'Objekt Aufstellung'!$A$2:$B$51,2))</f>
        <v>Gerresheimer Landstraße 152</v>
      </c>
      <c r="E991" s="49" t="s">
        <v>693</v>
      </c>
      <c r="F991" s="49" t="s">
        <v>1611</v>
      </c>
      <c r="G991" s="50" t="s">
        <v>2191</v>
      </c>
      <c r="H991" s="49" t="s">
        <v>13</v>
      </c>
      <c r="I991" s="51" t="s">
        <v>950</v>
      </c>
      <c r="J991" s="21" t="s">
        <v>950</v>
      </c>
    </row>
    <row r="992" spans="1:16" ht="32" x14ac:dyDescent="0.2">
      <c r="A992" s="16" t="s">
        <v>2137</v>
      </c>
      <c r="B992" s="48">
        <v>44027</v>
      </c>
      <c r="C992" s="47">
        <v>19</v>
      </c>
      <c r="D992" s="17" t="str">
        <f>IF(C992="","",VLOOKUP(C992,'Objekt Aufstellung'!$A$2:$B$51,2))</f>
        <v>Alte Bachstraße 25</v>
      </c>
      <c r="E992" s="49" t="s">
        <v>2192</v>
      </c>
      <c r="F992" s="49" t="s">
        <v>2193</v>
      </c>
      <c r="G992" s="18" t="s">
        <v>2194</v>
      </c>
      <c r="H992" s="17" t="s">
        <v>13</v>
      </c>
      <c r="I992" s="23" t="s">
        <v>14</v>
      </c>
      <c r="J992" s="21" t="s">
        <v>14</v>
      </c>
    </row>
    <row r="993" spans="1:10" ht="16" x14ac:dyDescent="0.2">
      <c r="A993" s="16" t="s">
        <v>2138</v>
      </c>
      <c r="B993" s="34">
        <v>44027</v>
      </c>
      <c r="C993" s="16">
        <v>19</v>
      </c>
      <c r="D993" s="17" t="str">
        <f>IF(C993="","",VLOOKUP(C993,'Objekt Aufstellung'!$A$2:$B$51,2))</f>
        <v>Alte Bachstraße 25</v>
      </c>
      <c r="E993" s="17" t="s">
        <v>2195</v>
      </c>
      <c r="F993" s="17" t="s">
        <v>2196</v>
      </c>
      <c r="G993" s="18" t="s">
        <v>2197</v>
      </c>
      <c r="H993" s="17" t="s">
        <v>13</v>
      </c>
      <c r="I993" s="23" t="s">
        <v>14</v>
      </c>
      <c r="J993" s="21" t="s">
        <v>14</v>
      </c>
    </row>
    <row r="994" spans="1:10" ht="16" x14ac:dyDescent="0.2">
      <c r="A994" s="16" t="s">
        <v>2139</v>
      </c>
      <c r="B994" s="34">
        <v>44027</v>
      </c>
      <c r="C994" s="16">
        <v>20</v>
      </c>
      <c r="D994" s="17" t="str">
        <f>IF(C994="","",VLOOKUP(C994,'Objekt Aufstellung'!$A$2:$B$51,2))</f>
        <v>Kranzstraße 103</v>
      </c>
      <c r="E994" s="17" t="s">
        <v>654</v>
      </c>
      <c r="F994" s="17" t="s">
        <v>1383</v>
      </c>
      <c r="G994" s="18" t="s">
        <v>2198</v>
      </c>
      <c r="H994" s="17" t="s">
        <v>13</v>
      </c>
      <c r="I994" s="23" t="s">
        <v>104</v>
      </c>
      <c r="J994" s="21"/>
    </row>
    <row r="995" spans="1:10" ht="16" x14ac:dyDescent="0.2">
      <c r="A995" s="16" t="s">
        <v>2140</v>
      </c>
      <c r="B995" s="34">
        <v>44028</v>
      </c>
      <c r="C995" s="16">
        <v>45</v>
      </c>
      <c r="D995" s="17" t="str">
        <f>IF(C995="","",VLOOKUP(C995,'Objekt Aufstellung'!$A$2:$B$51,2))</f>
        <v>Neumühler Straße 39</v>
      </c>
      <c r="E995" s="17" t="s">
        <v>138</v>
      </c>
      <c r="F995" s="17" t="s">
        <v>2199</v>
      </c>
      <c r="G995" s="18" t="s">
        <v>2200</v>
      </c>
      <c r="H995" s="17" t="s">
        <v>13</v>
      </c>
      <c r="I995" s="23" t="s">
        <v>14</v>
      </c>
      <c r="J995" s="21" t="s">
        <v>14</v>
      </c>
    </row>
    <row r="996" spans="1:10" ht="16" x14ac:dyDescent="0.2">
      <c r="A996" s="16" t="s">
        <v>2141</v>
      </c>
      <c r="B996" s="34">
        <v>44027</v>
      </c>
      <c r="C996" s="16">
        <v>28</v>
      </c>
      <c r="D996" s="17" t="str">
        <f>IF(C996="","",VLOOKUP(C996,'Objekt Aufstellung'!$A$2:$B$51,2))</f>
        <v>Koppelskamp 8</v>
      </c>
      <c r="E996" s="17" t="s">
        <v>654</v>
      </c>
      <c r="F996" s="17"/>
      <c r="G996" s="18" t="s">
        <v>2201</v>
      </c>
      <c r="H996" s="17" t="s">
        <v>13</v>
      </c>
      <c r="I996" s="21" t="s">
        <v>921</v>
      </c>
      <c r="J996" s="21" t="s">
        <v>921</v>
      </c>
    </row>
    <row r="997" spans="1:10" ht="16" x14ac:dyDescent="0.2">
      <c r="A997" s="16" t="s">
        <v>2142</v>
      </c>
      <c r="B997" s="34">
        <v>44029</v>
      </c>
      <c r="C997" s="16">
        <v>15</v>
      </c>
      <c r="D997" s="17" t="str">
        <f>IF(C997="","",VLOOKUP(C997,'Objekt Aufstellung'!$A$2:$B$51,2))</f>
        <v>Hoppengarten 15</v>
      </c>
      <c r="E997" s="17" t="s">
        <v>399</v>
      </c>
      <c r="F997" s="17"/>
      <c r="G997" s="137" t="s">
        <v>2202</v>
      </c>
      <c r="H997" s="17" t="s">
        <v>13</v>
      </c>
      <c r="I997" s="23" t="s">
        <v>181</v>
      </c>
      <c r="J997" s="21"/>
    </row>
    <row r="998" spans="1:10" ht="16" x14ac:dyDescent="0.2">
      <c r="A998" s="16" t="s">
        <v>2143</v>
      </c>
      <c r="B998" s="34">
        <v>44029</v>
      </c>
      <c r="C998" s="16">
        <v>18</v>
      </c>
      <c r="D998" s="17" t="str">
        <f>IF(C998="","",VLOOKUP(C998,'Objekt Aufstellung'!$A$2:$B$51,2))</f>
        <v>Kölner Straße 217</v>
      </c>
      <c r="E998" s="17" t="s">
        <v>16</v>
      </c>
      <c r="F998" s="17" t="s">
        <v>2203</v>
      </c>
      <c r="G998" s="18" t="s">
        <v>2204</v>
      </c>
      <c r="H998" s="17" t="s">
        <v>13</v>
      </c>
      <c r="I998" s="23" t="s">
        <v>181</v>
      </c>
      <c r="J998" s="23" t="s">
        <v>181</v>
      </c>
    </row>
    <row r="999" spans="1:10" ht="16" x14ac:dyDescent="0.2">
      <c r="A999" s="16" t="s">
        <v>2144</v>
      </c>
      <c r="B999" s="34">
        <v>44032</v>
      </c>
      <c r="C999" s="16">
        <v>4</v>
      </c>
      <c r="D999" s="17" t="str">
        <f>IF(C999="","",VLOOKUP(C999,'Objekt Aufstellung'!$A$2:$B$51,2))</f>
        <v>Neanderstraße 15</v>
      </c>
      <c r="E999" s="17" t="s">
        <v>637</v>
      </c>
      <c r="F999" s="17" t="s">
        <v>444</v>
      </c>
      <c r="G999" s="18" t="s">
        <v>2205</v>
      </c>
      <c r="H999" s="17" t="s">
        <v>13</v>
      </c>
      <c r="I999" s="21" t="s">
        <v>706</v>
      </c>
      <c r="J999" s="21" t="s">
        <v>706</v>
      </c>
    </row>
    <row r="1000" spans="1:10" ht="16" x14ac:dyDescent="0.2">
      <c r="A1000" s="16" t="s">
        <v>2145</v>
      </c>
      <c r="B1000" s="34">
        <v>44034</v>
      </c>
      <c r="C1000" s="16">
        <v>2</v>
      </c>
      <c r="D1000" s="17" t="str">
        <f>IF(C1000="","",VLOOKUP(C1000,'Objekt Aufstellung'!$A$2:$B$51,2))</f>
        <v>Pfalzstraße 17</v>
      </c>
      <c r="E1000" s="17" t="s">
        <v>36</v>
      </c>
      <c r="F1000" s="17" t="s">
        <v>2206</v>
      </c>
      <c r="G1000" s="18" t="s">
        <v>2207</v>
      </c>
      <c r="H1000" s="17" t="s">
        <v>13</v>
      </c>
      <c r="I1000" s="23" t="s">
        <v>119</v>
      </c>
      <c r="J1000" s="21" t="s">
        <v>119</v>
      </c>
    </row>
    <row r="1001" spans="1:10" ht="16" x14ac:dyDescent="0.2">
      <c r="A1001" s="16" t="s">
        <v>2176</v>
      </c>
      <c r="B1001" s="34">
        <v>44034</v>
      </c>
      <c r="C1001" s="16">
        <v>12</v>
      </c>
      <c r="D1001" s="17" t="str">
        <f>IF(C1001="","",VLOOKUP(C1001,'Objekt Aufstellung'!$A$2:$B$51,2))</f>
        <v>Merowingerstr. 17</v>
      </c>
      <c r="E1001" s="17" t="s">
        <v>317</v>
      </c>
      <c r="F1001" s="17" t="s">
        <v>2208</v>
      </c>
      <c r="G1001" s="18" t="s">
        <v>2209</v>
      </c>
      <c r="H1001" s="17" t="s">
        <v>13</v>
      </c>
      <c r="I1001" s="23" t="s">
        <v>19</v>
      </c>
      <c r="J1001" s="21"/>
    </row>
    <row r="1002" spans="1:10" ht="16" x14ac:dyDescent="0.2">
      <c r="A1002" s="16" t="s">
        <v>2177</v>
      </c>
      <c r="B1002" s="34">
        <v>44039</v>
      </c>
      <c r="C1002" s="16">
        <v>12</v>
      </c>
      <c r="D1002" s="17" t="str">
        <f>IF(C1002="","",VLOOKUP(C1002,'Objekt Aufstellung'!$A$2:$B$51,2))</f>
        <v>Merowingerstr. 17</v>
      </c>
      <c r="E1002" s="17" t="s">
        <v>263</v>
      </c>
      <c r="F1002" s="17"/>
      <c r="G1002" s="18" t="s">
        <v>2210</v>
      </c>
      <c r="H1002" s="17" t="s">
        <v>13</v>
      </c>
      <c r="I1002" s="23" t="s">
        <v>181</v>
      </c>
      <c r="J1002" s="21" t="s">
        <v>181</v>
      </c>
    </row>
    <row r="1003" spans="1:10" ht="16" x14ac:dyDescent="0.2">
      <c r="A1003" s="16" t="s">
        <v>2178</v>
      </c>
      <c r="B1003" s="34">
        <v>44039</v>
      </c>
      <c r="C1003" s="16">
        <v>4</v>
      </c>
      <c r="D1003" s="17" t="str">
        <f>IF(C1003="","",VLOOKUP(C1003,'Objekt Aufstellung'!$A$2:$B$51,2))</f>
        <v>Neanderstraße 15</v>
      </c>
      <c r="E1003" s="17" t="s">
        <v>654</v>
      </c>
      <c r="F1003" s="17"/>
      <c r="G1003" s="18" t="s">
        <v>2211</v>
      </c>
      <c r="H1003" s="17" t="s">
        <v>13</v>
      </c>
      <c r="I1003" s="23" t="s">
        <v>921</v>
      </c>
      <c r="J1003" s="21" t="s">
        <v>921</v>
      </c>
    </row>
    <row r="1004" spans="1:10" ht="16" x14ac:dyDescent="0.2">
      <c r="A1004" s="16" t="s">
        <v>2179</v>
      </c>
      <c r="B1004" s="34">
        <v>44040</v>
      </c>
      <c r="C1004" s="16">
        <v>19</v>
      </c>
      <c r="D1004" s="17" t="str">
        <f>IF(C1004="","",VLOOKUP(C1004,'Objekt Aufstellung'!$A$2:$B$51,2))</f>
        <v>Alte Bachstraße 25</v>
      </c>
      <c r="E1004" s="17" t="s">
        <v>2212</v>
      </c>
      <c r="F1004" s="17" t="s">
        <v>1157</v>
      </c>
      <c r="G1004" s="18" t="s">
        <v>290</v>
      </c>
      <c r="H1004" s="17" t="s">
        <v>13</v>
      </c>
      <c r="I1004" s="23" t="s">
        <v>14</v>
      </c>
      <c r="J1004" s="21"/>
    </row>
    <row r="1005" spans="1:10" ht="16" x14ac:dyDescent="0.2">
      <c r="A1005" s="16" t="s">
        <v>2180</v>
      </c>
      <c r="B1005" s="34">
        <v>44040</v>
      </c>
      <c r="C1005" s="16">
        <v>25</v>
      </c>
      <c r="D1005" s="17" t="str">
        <f>IF(C1005="","",VLOOKUP(C1005,'Objekt Aufstellung'!$A$2:$B$51,2))</f>
        <v>Koppelskamp 10</v>
      </c>
      <c r="E1005" s="17" t="s">
        <v>467</v>
      </c>
      <c r="F1005" s="17" t="s">
        <v>2213</v>
      </c>
      <c r="G1005" s="18" t="s">
        <v>2214</v>
      </c>
      <c r="H1005" s="17" t="s">
        <v>13</v>
      </c>
      <c r="I1005" s="23" t="s">
        <v>181</v>
      </c>
      <c r="J1005" s="21"/>
    </row>
    <row r="1006" spans="1:10" ht="16" x14ac:dyDescent="0.2">
      <c r="A1006" s="16" t="s">
        <v>2181</v>
      </c>
      <c r="B1006" s="34">
        <v>44041</v>
      </c>
      <c r="C1006" s="16">
        <v>11</v>
      </c>
      <c r="D1006" s="17" t="str">
        <f>IF(C1006="","",VLOOKUP(C1006,'Objekt Aufstellung'!$A$2:$B$51,2))</f>
        <v>Kölner Landstraße 261</v>
      </c>
      <c r="E1006" s="17" t="s">
        <v>1932</v>
      </c>
      <c r="F1006" s="17" t="s">
        <v>2243</v>
      </c>
      <c r="G1006" s="18" t="s">
        <v>2244</v>
      </c>
      <c r="H1006" s="17" t="s">
        <v>13</v>
      </c>
      <c r="I1006" s="23" t="s">
        <v>119</v>
      </c>
      <c r="J1006" s="21" t="s">
        <v>119</v>
      </c>
    </row>
    <row r="1007" spans="1:10" ht="16" x14ac:dyDescent="0.2">
      <c r="A1007" s="16" t="s">
        <v>2182</v>
      </c>
      <c r="B1007" s="34">
        <v>44042</v>
      </c>
      <c r="C1007" s="16">
        <v>9</v>
      </c>
      <c r="D1007" s="17" t="str">
        <f>IF(C1007="","",VLOOKUP(C1007,'Objekt Aufstellung'!$A$2:$B$51,2))</f>
        <v>Stockkampstraße 47</v>
      </c>
      <c r="E1007" s="17" t="s">
        <v>149</v>
      </c>
      <c r="F1007" s="17" t="s">
        <v>2245</v>
      </c>
      <c r="G1007" s="18" t="s">
        <v>2246</v>
      </c>
      <c r="H1007" s="17" t="s">
        <v>13</v>
      </c>
      <c r="I1007" s="23" t="s">
        <v>14</v>
      </c>
      <c r="J1007" s="21" t="s">
        <v>14</v>
      </c>
    </row>
    <row r="1008" spans="1:10" ht="16" x14ac:dyDescent="0.2">
      <c r="A1008" s="16" t="s">
        <v>2183</v>
      </c>
      <c r="B1008" s="34">
        <v>44042</v>
      </c>
      <c r="C1008" s="16">
        <v>11</v>
      </c>
      <c r="D1008" s="17" t="str">
        <f>IF(C1008="","",VLOOKUP(C1008,'Objekt Aufstellung'!$A$2:$B$51,2))</f>
        <v>Kölner Landstraße 261</v>
      </c>
      <c r="E1008" s="17" t="s">
        <v>1932</v>
      </c>
      <c r="F1008" s="17" t="s">
        <v>2243</v>
      </c>
      <c r="G1008" s="18" t="s">
        <v>290</v>
      </c>
      <c r="H1008" s="17" t="s">
        <v>13</v>
      </c>
      <c r="I1008" s="23" t="s">
        <v>14</v>
      </c>
      <c r="J1008" s="21" t="s">
        <v>14</v>
      </c>
    </row>
    <row r="1009" spans="1:10" ht="16" x14ac:dyDescent="0.2">
      <c r="A1009" s="16" t="s">
        <v>2184</v>
      </c>
      <c r="B1009" s="34">
        <v>44043</v>
      </c>
      <c r="C1009" s="16">
        <v>25</v>
      </c>
      <c r="D1009" s="17" t="str">
        <f>IF(C1009="","",VLOOKUP(C1009,'Objekt Aufstellung'!$A$2:$B$51,2))</f>
        <v>Koppelskamp 10</v>
      </c>
      <c r="E1009" s="17" t="s">
        <v>693</v>
      </c>
      <c r="F1009" s="17" t="s">
        <v>2156</v>
      </c>
      <c r="G1009" s="18" t="s">
        <v>2247</v>
      </c>
      <c r="H1009" s="17" t="s">
        <v>13</v>
      </c>
      <c r="I1009" s="23" t="s">
        <v>914</v>
      </c>
      <c r="J1009" s="21" t="s">
        <v>914</v>
      </c>
    </row>
    <row r="1010" spans="1:10" ht="16" x14ac:dyDescent="0.2">
      <c r="A1010" s="16" t="s">
        <v>2185</v>
      </c>
      <c r="B1010" s="34">
        <v>44047</v>
      </c>
      <c r="C1010" s="16">
        <v>5</v>
      </c>
      <c r="D1010" s="17" t="str">
        <f>IF(C1010="","",VLOOKUP(C1010,'Objekt Aufstellung'!$A$2:$B$51,2))</f>
        <v>Luisenstraße 3</v>
      </c>
      <c r="E1010" s="17" t="s">
        <v>1306</v>
      </c>
      <c r="F1010" s="17" t="s">
        <v>17</v>
      </c>
      <c r="G1010" s="18" t="s">
        <v>1590</v>
      </c>
      <c r="H1010" s="17" t="s">
        <v>13</v>
      </c>
      <c r="I1010" s="23" t="s">
        <v>14</v>
      </c>
      <c r="J1010" s="21" t="s">
        <v>14</v>
      </c>
    </row>
    <row r="1011" spans="1:10" ht="16" x14ac:dyDescent="0.2">
      <c r="A1011" s="16" t="s">
        <v>2186</v>
      </c>
      <c r="B1011" s="34">
        <v>44048</v>
      </c>
      <c r="C1011" s="16">
        <v>4</v>
      </c>
      <c r="D1011" s="17" t="str">
        <f>IF(C1011="","",VLOOKUP(C1011,'Objekt Aufstellung'!$A$2:$B$51,2))</f>
        <v>Neanderstraße 15</v>
      </c>
      <c r="E1011" s="17" t="s">
        <v>358</v>
      </c>
      <c r="F1011" s="17" t="s">
        <v>2248</v>
      </c>
      <c r="G1011" s="18" t="s">
        <v>66</v>
      </c>
      <c r="H1011" s="17" t="s">
        <v>13</v>
      </c>
      <c r="I1011" s="23" t="s">
        <v>14</v>
      </c>
      <c r="J1011" s="21" t="s">
        <v>14</v>
      </c>
    </row>
    <row r="1012" spans="1:10" ht="16" x14ac:dyDescent="0.2">
      <c r="A1012" s="16" t="s">
        <v>2187</v>
      </c>
      <c r="B1012" s="34">
        <v>44053</v>
      </c>
      <c r="C1012" s="16">
        <v>42</v>
      </c>
      <c r="D1012" s="17" t="str">
        <f>IF(C1012="","",VLOOKUP(C1012,'Objekt Aufstellung'!$A$2:$B$51,2))</f>
        <v>Metzer Straße 17</v>
      </c>
      <c r="E1012" s="17" t="s">
        <v>665</v>
      </c>
      <c r="F1012" s="17" t="s">
        <v>17</v>
      </c>
      <c r="G1012" s="18" t="s">
        <v>2249</v>
      </c>
      <c r="H1012" s="17" t="s">
        <v>13</v>
      </c>
      <c r="I1012" s="23" t="s">
        <v>14</v>
      </c>
      <c r="J1012" s="21" t="s">
        <v>14</v>
      </c>
    </row>
    <row r="1013" spans="1:10" ht="16" x14ac:dyDescent="0.2">
      <c r="A1013" s="16" t="s">
        <v>2188</v>
      </c>
      <c r="B1013" s="34">
        <v>44053</v>
      </c>
      <c r="C1013" s="16">
        <v>16</v>
      </c>
      <c r="D1013" s="17" t="str">
        <f>IF(C1013="","",VLOOKUP(C1013,'Objekt Aufstellung'!$A$2:$B$51,2))</f>
        <v>Hoppengarten 17</v>
      </c>
      <c r="E1013" s="17" t="s">
        <v>358</v>
      </c>
      <c r="F1013" s="17" t="s">
        <v>1845</v>
      </c>
      <c r="G1013" s="18" t="s">
        <v>1519</v>
      </c>
      <c r="H1013" s="17" t="s">
        <v>13</v>
      </c>
      <c r="I1013" s="23" t="s">
        <v>329</v>
      </c>
      <c r="J1013" s="21"/>
    </row>
    <row r="1014" spans="1:10" ht="16" x14ac:dyDescent="0.2">
      <c r="A1014" s="16" t="s">
        <v>2189</v>
      </c>
      <c r="B1014" s="34">
        <v>44054</v>
      </c>
      <c r="C1014" s="16">
        <v>45</v>
      </c>
      <c r="D1014" s="17" t="str">
        <f>IF(C1014="","",VLOOKUP(C1014,'Objekt Aufstellung'!$A$2:$B$51,2))</f>
        <v>Neumühler Straße 39</v>
      </c>
      <c r="E1014" s="17" t="s">
        <v>36</v>
      </c>
      <c r="F1014" s="17"/>
      <c r="G1014" s="18" t="s">
        <v>2250</v>
      </c>
      <c r="H1014" s="17" t="s">
        <v>13</v>
      </c>
      <c r="I1014" s="23" t="s">
        <v>411</v>
      </c>
      <c r="J1014" s="21" t="s">
        <v>411</v>
      </c>
    </row>
    <row r="1015" spans="1:10" ht="16" x14ac:dyDescent="0.2">
      <c r="A1015" s="16" t="s">
        <v>2215</v>
      </c>
      <c r="B1015" s="34">
        <v>44054</v>
      </c>
      <c r="C1015" s="16">
        <v>11</v>
      </c>
      <c r="D1015" s="17" t="str">
        <f>IF(C1015="","",VLOOKUP(C1015,'Objekt Aufstellung'!$A$2:$B$51,2))</f>
        <v>Kölner Landstraße 261</v>
      </c>
      <c r="E1015" s="17" t="s">
        <v>178</v>
      </c>
      <c r="F1015" s="17" t="s">
        <v>2061</v>
      </c>
      <c r="G1015" s="18" t="s">
        <v>2251</v>
      </c>
      <c r="H1015" s="17" t="s">
        <v>13</v>
      </c>
      <c r="I1015" s="23" t="s">
        <v>2252</v>
      </c>
      <c r="J1015" s="23" t="s">
        <v>2252</v>
      </c>
    </row>
    <row r="1016" spans="1:10" ht="16" x14ac:dyDescent="0.2">
      <c r="A1016" s="16" t="s">
        <v>2216</v>
      </c>
      <c r="B1016" s="34">
        <v>44054</v>
      </c>
      <c r="C1016" s="16">
        <v>11</v>
      </c>
      <c r="D1016" s="17" t="str">
        <f>IF(C1016="","",VLOOKUP(C1016,'Objekt Aufstellung'!$A$2:$B$51,2))</f>
        <v>Kölner Landstraße 261</v>
      </c>
      <c r="E1016" s="17" t="s">
        <v>178</v>
      </c>
      <c r="F1016" s="17" t="s">
        <v>2061</v>
      </c>
      <c r="G1016" s="18" t="s">
        <v>2254</v>
      </c>
      <c r="H1016" s="17" t="s">
        <v>13</v>
      </c>
      <c r="I1016" s="23" t="s">
        <v>19</v>
      </c>
      <c r="J1016" s="21" t="s">
        <v>19</v>
      </c>
    </row>
    <row r="1017" spans="1:10" ht="16" x14ac:dyDescent="0.2">
      <c r="A1017" s="16" t="s">
        <v>2217</v>
      </c>
      <c r="B1017" s="34">
        <v>44055</v>
      </c>
      <c r="C1017" s="16">
        <v>4</v>
      </c>
      <c r="D1017" s="17" t="str">
        <f>IF(C1017="","",VLOOKUP(C1017,'Objekt Aufstellung'!$A$2:$B$51,2))</f>
        <v>Neanderstraße 15</v>
      </c>
      <c r="E1017" s="17" t="s">
        <v>10</v>
      </c>
      <c r="F1017" s="17" t="s">
        <v>1884</v>
      </c>
      <c r="G1017" s="18" t="s">
        <v>2205</v>
      </c>
      <c r="H1017" s="17" t="s">
        <v>13</v>
      </c>
      <c r="I1017" s="21" t="s">
        <v>706</v>
      </c>
      <c r="J1017" s="21" t="s">
        <v>706</v>
      </c>
    </row>
    <row r="1018" spans="1:10" ht="16" x14ac:dyDescent="0.2">
      <c r="A1018" s="16" t="s">
        <v>2218</v>
      </c>
      <c r="B1018" s="34">
        <v>44055</v>
      </c>
      <c r="C1018" s="16">
        <v>4</v>
      </c>
      <c r="D1018" s="17" t="str">
        <f>IF(C1018="","",VLOOKUP(C1018,'Objekt Aufstellung'!$A$2:$B$51,2))</f>
        <v>Neanderstraße 15</v>
      </c>
      <c r="E1018" s="17" t="s">
        <v>10</v>
      </c>
      <c r="F1018" s="17" t="s">
        <v>1884</v>
      </c>
      <c r="G1018" s="18" t="s">
        <v>2255</v>
      </c>
      <c r="H1018" s="17" t="s">
        <v>13</v>
      </c>
      <c r="I1018" s="23" t="s">
        <v>119</v>
      </c>
      <c r="J1018" s="21" t="s">
        <v>119</v>
      </c>
    </row>
    <row r="1019" spans="1:10" ht="16" x14ac:dyDescent="0.2">
      <c r="A1019" s="16" t="s">
        <v>2219</v>
      </c>
      <c r="B1019" s="34">
        <v>44056</v>
      </c>
      <c r="C1019" s="16">
        <v>10</v>
      </c>
      <c r="D1019" s="17" t="str">
        <f>IF(C1019="","",VLOOKUP(C1019,'Objekt Aufstellung'!$A$2:$B$51,2))</f>
        <v>Driburger Straße 8</v>
      </c>
      <c r="E1019" s="17" t="s">
        <v>16</v>
      </c>
      <c r="F1019" s="17" t="s">
        <v>17</v>
      </c>
      <c r="G1019" s="18" t="s">
        <v>2256</v>
      </c>
      <c r="H1019" s="17" t="s">
        <v>13</v>
      </c>
      <c r="I1019" s="23" t="s">
        <v>411</v>
      </c>
      <c r="J1019" s="21" t="s">
        <v>411</v>
      </c>
    </row>
    <row r="1020" spans="1:10" ht="16" x14ac:dyDescent="0.2">
      <c r="A1020" s="16" t="s">
        <v>2220</v>
      </c>
      <c r="B1020" s="34">
        <v>44056</v>
      </c>
      <c r="C1020" s="16">
        <v>10</v>
      </c>
      <c r="D1020" s="17" t="str">
        <f>IF(C1020="","",VLOOKUP(C1020,'Objekt Aufstellung'!$A$2:$B$51,2))</f>
        <v>Driburger Straße 8</v>
      </c>
      <c r="E1020" s="17" t="s">
        <v>358</v>
      </c>
      <c r="F1020" s="17" t="s">
        <v>1293</v>
      </c>
      <c r="G1020" s="18" t="s">
        <v>2257</v>
      </c>
      <c r="H1020" s="17" t="s">
        <v>13</v>
      </c>
      <c r="I1020" s="23" t="s">
        <v>119</v>
      </c>
      <c r="J1020" s="21" t="s">
        <v>119</v>
      </c>
    </row>
    <row r="1021" spans="1:10" ht="16" x14ac:dyDescent="0.2">
      <c r="A1021" s="16" t="s">
        <v>2221</v>
      </c>
      <c r="B1021" s="34">
        <v>44056</v>
      </c>
      <c r="C1021" s="16">
        <v>5</v>
      </c>
      <c r="D1021" s="17" t="str">
        <f>IF(C1021="","",VLOOKUP(C1021,'Objekt Aufstellung'!$A$2:$B$51,2))</f>
        <v>Luisenstraße 3</v>
      </c>
      <c r="E1021" s="17" t="s">
        <v>1481</v>
      </c>
      <c r="F1021" s="17" t="s">
        <v>2258</v>
      </c>
      <c r="G1021" s="18" t="s">
        <v>2259</v>
      </c>
      <c r="H1021" s="17" t="s">
        <v>13</v>
      </c>
      <c r="I1021" s="23" t="s">
        <v>14</v>
      </c>
      <c r="J1021" s="21" t="s">
        <v>114</v>
      </c>
    </row>
    <row r="1022" spans="1:10" ht="16" x14ac:dyDescent="0.2">
      <c r="A1022" s="16" t="s">
        <v>2222</v>
      </c>
      <c r="B1022" s="34">
        <v>44060</v>
      </c>
      <c r="C1022" s="16">
        <v>21</v>
      </c>
      <c r="D1022" s="17" t="str">
        <f>IF(C1022="","",VLOOKUP(C1022,'Objekt Aufstellung'!$A$2:$B$51,2))</f>
        <v>Broicherdorfstraße 3</v>
      </c>
      <c r="E1022" s="17" t="s">
        <v>32</v>
      </c>
      <c r="F1022" s="17" t="s">
        <v>2260</v>
      </c>
      <c r="G1022" s="18" t="s">
        <v>2261</v>
      </c>
      <c r="H1022" s="17" t="s">
        <v>13</v>
      </c>
      <c r="I1022" s="23" t="s">
        <v>48</v>
      </c>
      <c r="J1022" s="21" t="s">
        <v>48</v>
      </c>
    </row>
    <row r="1023" spans="1:10" ht="16" x14ac:dyDescent="0.2">
      <c r="A1023" s="16" t="s">
        <v>2223</v>
      </c>
      <c r="B1023" s="34">
        <v>44060</v>
      </c>
      <c r="C1023" s="16">
        <v>48</v>
      </c>
      <c r="D1023" s="17" t="str">
        <f>IF(C1023="","",VLOOKUP(C1023,'Objekt Aufstellung'!$A$2:$B$51,2))</f>
        <v>Mendelsohnstraße 3</v>
      </c>
      <c r="E1023" s="17" t="s">
        <v>740</v>
      </c>
      <c r="F1023" s="17" t="s">
        <v>1708</v>
      </c>
      <c r="G1023" s="18" t="s">
        <v>2262</v>
      </c>
      <c r="H1023" s="17" t="s">
        <v>13</v>
      </c>
      <c r="I1023" s="23" t="s">
        <v>48</v>
      </c>
      <c r="J1023" s="21"/>
    </row>
    <row r="1024" spans="1:10" ht="16" x14ac:dyDescent="0.2">
      <c r="A1024" s="16" t="s">
        <v>2224</v>
      </c>
      <c r="B1024" s="34">
        <v>44060</v>
      </c>
      <c r="C1024" s="16">
        <v>35</v>
      </c>
      <c r="D1024" s="17" t="str">
        <f>IF(C1024="","",VLOOKUP(C1024,'Objekt Aufstellung'!$A$2:$B$51,2))</f>
        <v>Lintorfer Waldstraße 6</v>
      </c>
      <c r="E1024" s="17" t="s">
        <v>693</v>
      </c>
      <c r="F1024" s="17" t="s">
        <v>17</v>
      </c>
      <c r="G1024" s="18" t="s">
        <v>61</v>
      </c>
      <c r="H1024" s="17" t="s">
        <v>13</v>
      </c>
      <c r="I1024" s="23" t="s">
        <v>14</v>
      </c>
      <c r="J1024" s="21" t="s">
        <v>14</v>
      </c>
    </row>
    <row r="1025" spans="1:10" ht="16" x14ac:dyDescent="0.2">
      <c r="A1025" s="16" t="s">
        <v>2225</v>
      </c>
      <c r="B1025" s="34">
        <v>44060</v>
      </c>
      <c r="C1025" s="16">
        <v>35</v>
      </c>
      <c r="D1025" s="17" t="str">
        <f>IF(C1025="","",VLOOKUP(C1025,'Objekt Aufstellung'!$A$2:$B$51,2))</f>
        <v>Lintorfer Waldstraße 6</v>
      </c>
      <c r="E1025" s="17" t="s">
        <v>36</v>
      </c>
      <c r="F1025" s="17"/>
      <c r="G1025" s="18" t="s">
        <v>2263</v>
      </c>
      <c r="H1025" s="17" t="s">
        <v>13</v>
      </c>
      <c r="I1025" s="21" t="s">
        <v>312</v>
      </c>
      <c r="J1025" s="21" t="s">
        <v>312</v>
      </c>
    </row>
    <row r="1026" spans="1:10" ht="16" x14ac:dyDescent="0.2">
      <c r="A1026" s="16" t="s">
        <v>2226</v>
      </c>
      <c r="B1026" s="34">
        <v>44062</v>
      </c>
      <c r="C1026" s="16">
        <v>15</v>
      </c>
      <c r="D1026" s="17" t="str">
        <f>IF(C1026="","",VLOOKUP(C1026,'Objekt Aufstellung'!$A$2:$B$51,2))</f>
        <v>Hoppengarten 15</v>
      </c>
      <c r="E1026" s="17" t="s">
        <v>138</v>
      </c>
      <c r="F1026" s="17" t="s">
        <v>2067</v>
      </c>
      <c r="G1026" s="18" t="s">
        <v>1519</v>
      </c>
      <c r="H1026" s="17" t="s">
        <v>13</v>
      </c>
      <c r="I1026" s="23" t="s">
        <v>329</v>
      </c>
      <c r="J1026" s="21"/>
    </row>
    <row r="1027" spans="1:10" ht="16" x14ac:dyDescent="0.2">
      <c r="A1027" s="16" t="s">
        <v>2227</v>
      </c>
      <c r="B1027" s="34">
        <v>44064</v>
      </c>
      <c r="C1027" s="16">
        <v>47</v>
      </c>
      <c r="D1027" s="17" t="str">
        <f>IF(C1027="","",VLOOKUP(C1027,'Objekt Aufstellung'!$A$2:$B$51,2))</f>
        <v>Mündelheimer Straße 3-5</v>
      </c>
      <c r="E1027" s="17" t="s">
        <v>665</v>
      </c>
      <c r="F1027" s="17" t="s">
        <v>17</v>
      </c>
      <c r="G1027" s="18" t="s">
        <v>2264</v>
      </c>
      <c r="H1027" s="17" t="s">
        <v>13</v>
      </c>
      <c r="I1027" s="23" t="s">
        <v>19</v>
      </c>
      <c r="J1027" s="21"/>
    </row>
    <row r="1028" spans="1:10" ht="16" x14ac:dyDescent="0.2">
      <c r="A1028" s="16" t="s">
        <v>2228</v>
      </c>
      <c r="B1028" s="34">
        <v>44064</v>
      </c>
      <c r="C1028" s="16">
        <v>1</v>
      </c>
      <c r="D1028" s="17" t="str">
        <f>IF(C1028="","",VLOOKUP(C1028,'Objekt Aufstellung'!$A$2:$B$51,2))</f>
        <v>Roßstraße 9</v>
      </c>
      <c r="E1028" s="17" t="s">
        <v>693</v>
      </c>
      <c r="F1028" s="17" t="s">
        <v>1892</v>
      </c>
      <c r="G1028" s="18" t="s">
        <v>2265</v>
      </c>
      <c r="H1028" s="17" t="s">
        <v>13</v>
      </c>
      <c r="I1028" s="23" t="s">
        <v>14</v>
      </c>
      <c r="J1028" s="21" t="s">
        <v>14</v>
      </c>
    </row>
    <row r="1029" spans="1:10" ht="16" x14ac:dyDescent="0.2">
      <c r="A1029" s="16" t="s">
        <v>2229</v>
      </c>
      <c r="B1029" s="34">
        <v>44064</v>
      </c>
      <c r="C1029" s="16">
        <v>20</v>
      </c>
      <c r="D1029" s="17" t="str">
        <f>IF(C1029="","",VLOOKUP(C1029,'Objekt Aufstellung'!$A$2:$B$51,2))</f>
        <v>Kranzstraße 103</v>
      </c>
      <c r="E1029" s="17" t="s">
        <v>138</v>
      </c>
      <c r="F1029" s="17" t="s">
        <v>102</v>
      </c>
      <c r="G1029" s="18" t="s">
        <v>2266</v>
      </c>
      <c r="H1029" s="17" t="s">
        <v>13</v>
      </c>
      <c r="I1029" s="23" t="s">
        <v>14</v>
      </c>
      <c r="J1029" s="21" t="s">
        <v>14</v>
      </c>
    </row>
    <row r="1030" spans="1:10" ht="16" x14ac:dyDescent="0.2">
      <c r="A1030" s="16" t="s">
        <v>2230</v>
      </c>
      <c r="B1030" s="34">
        <v>44067</v>
      </c>
      <c r="C1030" s="16">
        <v>4</v>
      </c>
      <c r="D1030" s="17" t="str">
        <f>IF(C1030="","",VLOOKUP(C1030,'Objekt Aufstellung'!$A$2:$B$51,2))</f>
        <v>Neanderstraße 15</v>
      </c>
      <c r="E1030" s="17" t="s">
        <v>1932</v>
      </c>
      <c r="F1030" s="17" t="s">
        <v>2267</v>
      </c>
      <c r="G1030" s="18" t="s">
        <v>2268</v>
      </c>
      <c r="H1030" s="17" t="s">
        <v>13</v>
      </c>
      <c r="I1030" s="23" t="s">
        <v>181</v>
      </c>
      <c r="J1030" s="21" t="s">
        <v>181</v>
      </c>
    </row>
    <row r="1031" spans="1:10" ht="16" x14ac:dyDescent="0.2">
      <c r="A1031" s="16" t="s">
        <v>2231</v>
      </c>
      <c r="B1031" s="34">
        <v>44069</v>
      </c>
      <c r="C1031" s="16">
        <v>20</v>
      </c>
      <c r="D1031" s="17" t="str">
        <f>IF(C1031="","",VLOOKUP(C1031,'Objekt Aufstellung'!$A$2:$B$51,2))</f>
        <v>Kranzstraße 103</v>
      </c>
      <c r="E1031" s="17" t="s">
        <v>657</v>
      </c>
      <c r="F1031" s="17"/>
      <c r="G1031" s="18" t="s">
        <v>2285</v>
      </c>
      <c r="H1031" s="17" t="s">
        <v>13</v>
      </c>
      <c r="I1031" s="23" t="s">
        <v>683</v>
      </c>
      <c r="J1031" s="21"/>
    </row>
    <row r="1032" spans="1:10" ht="16" x14ac:dyDescent="0.2">
      <c r="A1032" s="16" t="s">
        <v>2232</v>
      </c>
      <c r="B1032" s="34">
        <v>44069</v>
      </c>
      <c r="C1032" s="16">
        <v>44</v>
      </c>
      <c r="D1032" s="17" t="str">
        <f>IF(C1032="","",VLOOKUP(C1032,'Objekt Aufstellung'!$A$2:$B$51,2))</f>
        <v>Neumühler Straße 37</v>
      </c>
      <c r="E1032" s="17" t="s">
        <v>467</v>
      </c>
      <c r="F1032" s="17" t="s">
        <v>2287</v>
      </c>
      <c r="G1032" s="18" t="s">
        <v>2288</v>
      </c>
      <c r="H1032" s="17" t="s">
        <v>13</v>
      </c>
      <c r="I1032" s="23" t="s">
        <v>2289</v>
      </c>
      <c r="J1032" s="23" t="s">
        <v>2289</v>
      </c>
    </row>
    <row r="1033" spans="1:10" ht="16" x14ac:dyDescent="0.2">
      <c r="A1033" s="16" t="s">
        <v>2233</v>
      </c>
      <c r="B1033" s="34">
        <v>44070</v>
      </c>
      <c r="C1033" s="16">
        <v>36</v>
      </c>
      <c r="D1033" s="17" t="str">
        <f>IF(C1033="","",VLOOKUP(C1033,'Objekt Aufstellung'!$A$2:$B$51,2))</f>
        <v>Lintorfer Waldstraße 8</v>
      </c>
      <c r="E1033" s="17" t="s">
        <v>358</v>
      </c>
      <c r="F1033" s="17" t="s">
        <v>2049</v>
      </c>
      <c r="G1033" s="18" t="s">
        <v>2291</v>
      </c>
      <c r="H1033" s="17" t="s">
        <v>13</v>
      </c>
      <c r="I1033" s="23" t="s">
        <v>30</v>
      </c>
      <c r="J1033" s="21" t="s">
        <v>30</v>
      </c>
    </row>
    <row r="1034" spans="1:10" ht="16" x14ac:dyDescent="0.2">
      <c r="A1034" s="16" t="s">
        <v>2234</v>
      </c>
      <c r="B1034" s="34">
        <v>44070</v>
      </c>
      <c r="C1034" s="16">
        <v>1</v>
      </c>
      <c r="D1034" s="17" t="str">
        <f>IF(C1034="","",VLOOKUP(C1034,'Objekt Aufstellung'!$A$2:$B$51,2))</f>
        <v>Roßstraße 9</v>
      </c>
      <c r="E1034" s="17" t="s">
        <v>202</v>
      </c>
      <c r="F1034" s="17" t="s">
        <v>2292</v>
      </c>
      <c r="G1034" s="18" t="s">
        <v>2293</v>
      </c>
      <c r="H1034" s="17" t="s">
        <v>13</v>
      </c>
      <c r="I1034" s="45" t="s">
        <v>14</v>
      </c>
      <c r="J1034" s="21" t="s">
        <v>14</v>
      </c>
    </row>
    <row r="1035" spans="1:10" ht="32" x14ac:dyDescent="0.2">
      <c r="A1035" s="16" t="s">
        <v>2235</v>
      </c>
      <c r="B1035" s="34">
        <v>44074</v>
      </c>
      <c r="C1035" s="16">
        <v>6</v>
      </c>
      <c r="D1035" s="17" t="str">
        <f>IF(C1035="","",VLOOKUP(C1035,'Objekt Aufstellung'!$A$2:$B$51,2))</f>
        <v>Lindenstraße 267</v>
      </c>
      <c r="E1035" s="17" t="s">
        <v>208</v>
      </c>
      <c r="F1035" s="17" t="s">
        <v>2294</v>
      </c>
      <c r="G1035" s="18" t="s">
        <v>2295</v>
      </c>
      <c r="H1035" s="17" t="s">
        <v>982</v>
      </c>
      <c r="I1035" s="45" t="s">
        <v>119</v>
      </c>
      <c r="J1035" s="21" t="s">
        <v>119</v>
      </c>
    </row>
    <row r="1036" spans="1:10" ht="32" x14ac:dyDescent="0.2">
      <c r="A1036" s="16" t="s">
        <v>2236</v>
      </c>
      <c r="B1036" s="34">
        <v>44074</v>
      </c>
      <c r="C1036" s="16">
        <v>6</v>
      </c>
      <c r="D1036" s="17" t="str">
        <f>IF(C1036="","",VLOOKUP(C1036,'Objekt Aufstellung'!$A$2:$B$51,2))</f>
        <v>Lindenstraße 267</v>
      </c>
      <c r="E1036" s="17" t="s">
        <v>149</v>
      </c>
      <c r="F1036" s="17" t="s">
        <v>2294</v>
      </c>
      <c r="G1036" s="18" t="s">
        <v>2296</v>
      </c>
      <c r="H1036" s="17" t="s">
        <v>23</v>
      </c>
      <c r="I1036" s="23" t="s">
        <v>14</v>
      </c>
      <c r="J1036" s="21" t="s">
        <v>14</v>
      </c>
    </row>
    <row r="1037" spans="1:10" ht="16" x14ac:dyDescent="0.2">
      <c r="A1037" s="16" t="s">
        <v>2237</v>
      </c>
      <c r="B1037" s="34">
        <v>44075</v>
      </c>
      <c r="C1037" s="16">
        <v>6</v>
      </c>
      <c r="D1037" s="17" t="str">
        <f>IF(C1037="","",VLOOKUP(C1037,'Objekt Aufstellung'!$A$2:$B$51,2))</f>
        <v>Lindenstraße 267</v>
      </c>
      <c r="E1037" s="17" t="s">
        <v>264</v>
      </c>
      <c r="F1037" s="17"/>
      <c r="G1037" s="18" t="s">
        <v>2297</v>
      </c>
      <c r="H1037" s="17" t="s">
        <v>13</v>
      </c>
      <c r="I1037" s="23" t="s">
        <v>181</v>
      </c>
      <c r="J1037" s="21" t="s">
        <v>181</v>
      </c>
    </row>
    <row r="1038" spans="1:10" ht="16" x14ac:dyDescent="0.2">
      <c r="A1038" s="16" t="s">
        <v>2238</v>
      </c>
      <c r="B1038" s="34">
        <v>44076</v>
      </c>
      <c r="C1038" s="16">
        <v>20</v>
      </c>
      <c r="D1038" s="17" t="str">
        <f>IF(C1038="","",VLOOKUP(C1038,'Objekt Aufstellung'!$A$2:$B$51,2))</f>
        <v>Kranzstraße 103</v>
      </c>
      <c r="E1038" s="17" t="s">
        <v>138</v>
      </c>
      <c r="F1038" s="17" t="s">
        <v>102</v>
      </c>
      <c r="G1038" s="18" t="s">
        <v>2298</v>
      </c>
      <c r="H1038" s="17" t="s">
        <v>13</v>
      </c>
      <c r="I1038" s="23" t="s">
        <v>84</v>
      </c>
      <c r="J1038" s="21"/>
    </row>
    <row r="1039" spans="1:10" ht="16" x14ac:dyDescent="0.2">
      <c r="A1039" s="16" t="s">
        <v>2239</v>
      </c>
      <c r="B1039" s="34">
        <v>44076</v>
      </c>
      <c r="C1039" s="16">
        <v>19</v>
      </c>
      <c r="D1039" s="17" t="str">
        <f>IF(C1039="","",VLOOKUP(C1039,'Objekt Aufstellung'!$A$2:$B$51,2))</f>
        <v>Alte Bachstraße 25</v>
      </c>
      <c r="E1039" s="17" t="s">
        <v>2299</v>
      </c>
      <c r="F1039" s="17" t="s">
        <v>673</v>
      </c>
      <c r="G1039" s="18" t="s">
        <v>581</v>
      </c>
      <c r="H1039" s="17" t="s">
        <v>23</v>
      </c>
      <c r="I1039" s="23" t="s">
        <v>14</v>
      </c>
      <c r="J1039" s="21" t="s">
        <v>14</v>
      </c>
    </row>
    <row r="1040" spans="1:10" ht="16" x14ac:dyDescent="0.2">
      <c r="A1040" s="16" t="s">
        <v>2240</v>
      </c>
      <c r="B1040" s="34">
        <v>44078</v>
      </c>
      <c r="C1040" s="16">
        <v>48</v>
      </c>
      <c r="D1040" s="17" t="str">
        <f>IF(C1040="","",VLOOKUP(C1040,'Objekt Aufstellung'!$A$2:$B$51,2))</f>
        <v>Mendelsohnstraße 3</v>
      </c>
      <c r="E1040" s="17" t="s">
        <v>174</v>
      </c>
      <c r="F1040" s="17" t="s">
        <v>76</v>
      </c>
      <c r="G1040" s="18" t="s">
        <v>581</v>
      </c>
      <c r="H1040" s="17" t="s">
        <v>463</v>
      </c>
      <c r="I1040" s="23" t="s">
        <v>272</v>
      </c>
      <c r="J1040" s="21" t="s">
        <v>272</v>
      </c>
    </row>
    <row r="1041" spans="1:10" ht="16" x14ac:dyDescent="0.2">
      <c r="A1041" s="16" t="s">
        <v>2241</v>
      </c>
      <c r="B1041" s="34">
        <v>44081</v>
      </c>
      <c r="C1041" s="16">
        <v>42</v>
      </c>
      <c r="D1041" s="17" t="str">
        <f>IF(C1041="","",VLOOKUP(C1041,'Objekt Aufstellung'!$A$2:$B$51,2))</f>
        <v>Metzer Straße 17</v>
      </c>
      <c r="E1041" s="17" t="s">
        <v>245</v>
      </c>
      <c r="F1041" s="17" t="s">
        <v>968</v>
      </c>
      <c r="G1041" s="18" t="s">
        <v>2300</v>
      </c>
      <c r="H1041" s="17" t="s">
        <v>23</v>
      </c>
      <c r="I1041" s="36" t="s">
        <v>423</v>
      </c>
      <c r="J1041" s="36" t="s">
        <v>423</v>
      </c>
    </row>
    <row r="1042" spans="1:10" ht="16" x14ac:dyDescent="0.2">
      <c r="A1042" s="16" t="s">
        <v>2242</v>
      </c>
      <c r="B1042" s="34">
        <v>44082</v>
      </c>
      <c r="C1042" s="16">
        <v>10</v>
      </c>
      <c r="D1042" s="17" t="str">
        <f>IF(C1042="","",VLOOKUP(C1042,'Objekt Aufstellung'!$A$2:$B$51,2))</f>
        <v>Driburger Straße 8</v>
      </c>
      <c r="E1042" s="17" t="s">
        <v>264</v>
      </c>
      <c r="F1042" s="17"/>
      <c r="G1042" s="18" t="s">
        <v>2301</v>
      </c>
      <c r="H1042" s="17" t="s">
        <v>23</v>
      </c>
      <c r="I1042" s="23" t="s">
        <v>181</v>
      </c>
      <c r="J1042" s="21"/>
    </row>
    <row r="1043" spans="1:10" ht="16" x14ac:dyDescent="0.2">
      <c r="A1043" s="16" t="s">
        <v>2269</v>
      </c>
      <c r="B1043" s="34">
        <v>44082</v>
      </c>
      <c r="C1043" s="16">
        <v>33</v>
      </c>
      <c r="D1043" s="17" t="str">
        <f>IF(C1043="","",VLOOKUP(C1043,'Objekt Aufstellung'!$A$2:$B$51,2))</f>
        <v>Koppelskamp 5a</v>
      </c>
      <c r="E1043" s="17" t="s">
        <v>264</v>
      </c>
      <c r="F1043" s="17"/>
      <c r="G1043" s="18" t="s">
        <v>2301</v>
      </c>
      <c r="H1043" s="17" t="s">
        <v>23</v>
      </c>
      <c r="I1043" s="23" t="s">
        <v>181</v>
      </c>
      <c r="J1043" s="21" t="s">
        <v>181</v>
      </c>
    </row>
    <row r="1044" spans="1:10" ht="16" x14ac:dyDescent="0.2">
      <c r="A1044" s="16" t="s">
        <v>2270</v>
      </c>
      <c r="B1044" s="34">
        <v>44083</v>
      </c>
      <c r="C1044" s="16">
        <v>19</v>
      </c>
      <c r="D1044" s="17" t="str">
        <f>IF(C1044="","",VLOOKUP(C1044,'Objekt Aufstellung'!$A$2:$B$51,2))</f>
        <v>Alte Bachstraße 25</v>
      </c>
      <c r="E1044" s="17" t="s">
        <v>2302</v>
      </c>
      <c r="F1044" s="17" t="s">
        <v>2303</v>
      </c>
      <c r="G1044" s="18" t="s">
        <v>2304</v>
      </c>
      <c r="H1044" s="17" t="s">
        <v>23</v>
      </c>
      <c r="I1044" s="23" t="s">
        <v>14</v>
      </c>
      <c r="J1044" s="21" t="s">
        <v>14</v>
      </c>
    </row>
    <row r="1045" spans="1:10" ht="16" x14ac:dyDescent="0.2">
      <c r="A1045" s="16" t="s">
        <v>2271</v>
      </c>
      <c r="B1045" s="34">
        <v>44083</v>
      </c>
      <c r="C1045" s="16">
        <v>37</v>
      </c>
      <c r="D1045" s="17" t="str">
        <f>IF(C1045="","",VLOOKUP(C1045,'Objekt Aufstellung'!$A$2:$B$51,2))</f>
        <v>Lintorfer Waldstraße 10</v>
      </c>
      <c r="E1045" s="17" t="s">
        <v>2305</v>
      </c>
      <c r="F1045" s="17" t="s">
        <v>2306</v>
      </c>
      <c r="G1045" s="18" t="s">
        <v>2307</v>
      </c>
      <c r="H1045" s="17" t="s">
        <v>23</v>
      </c>
      <c r="I1045" s="23" t="s">
        <v>30</v>
      </c>
      <c r="J1045" s="21" t="s">
        <v>30</v>
      </c>
    </row>
    <row r="1046" spans="1:10" ht="16" x14ac:dyDescent="0.2">
      <c r="A1046" s="16" t="s">
        <v>2272</v>
      </c>
      <c r="B1046" s="34">
        <v>44088</v>
      </c>
      <c r="C1046" s="16">
        <v>7</v>
      </c>
      <c r="D1046" s="17" t="str">
        <f>IF(C1046="","",VLOOKUP(C1046,'Objekt Aufstellung'!$A$2:$B$51,2))</f>
        <v>Engerstraße 3</v>
      </c>
      <c r="E1046" s="17" t="s">
        <v>2321</v>
      </c>
      <c r="F1046" s="17" t="s">
        <v>2322</v>
      </c>
      <c r="G1046" s="18" t="s">
        <v>1063</v>
      </c>
      <c r="H1046" s="17" t="s">
        <v>13</v>
      </c>
      <c r="I1046" s="37" t="s">
        <v>119</v>
      </c>
      <c r="J1046" s="21" t="s">
        <v>119</v>
      </c>
    </row>
    <row r="1047" spans="1:10" x14ac:dyDescent="0.2">
      <c r="A1047" s="16" t="s">
        <v>2273</v>
      </c>
      <c r="B1047" s="34">
        <v>44074</v>
      </c>
      <c r="C1047" s="16">
        <v>19</v>
      </c>
      <c r="D1047" s="17" t="str">
        <f>IF(C1047="","",VLOOKUP(C1047,'Objekt Aufstellung'!$A$2:$B$51,2))</f>
        <v>Alte Bachstraße 25</v>
      </c>
      <c r="E1047" s="17" t="s">
        <v>2323</v>
      </c>
      <c r="F1047" s="17" t="s">
        <v>2324</v>
      </c>
      <c r="G1047" s="46" t="s">
        <v>392</v>
      </c>
      <c r="H1047" s="17" t="s">
        <v>119</v>
      </c>
      <c r="I1047" s="21" t="s">
        <v>312</v>
      </c>
      <c r="J1047" s="21" t="s">
        <v>312</v>
      </c>
    </row>
    <row r="1048" spans="1:10" ht="16" x14ac:dyDescent="0.2">
      <c r="A1048" s="16" t="s">
        <v>2274</v>
      </c>
      <c r="B1048" s="34">
        <v>44088</v>
      </c>
      <c r="C1048" s="16">
        <v>4</v>
      </c>
      <c r="D1048" s="17" t="str">
        <f>IF(C1048="","",VLOOKUP(C1048,'Objekt Aufstellung'!$A$2:$B$51,2))</f>
        <v>Neanderstraße 15</v>
      </c>
      <c r="E1048" s="17" t="s">
        <v>1932</v>
      </c>
      <c r="F1048" s="17" t="s">
        <v>2325</v>
      </c>
      <c r="G1048" s="18" t="s">
        <v>2326</v>
      </c>
      <c r="H1048" s="17" t="s">
        <v>13</v>
      </c>
      <c r="I1048" s="23" t="s">
        <v>914</v>
      </c>
      <c r="J1048" s="21"/>
    </row>
    <row r="1049" spans="1:10" ht="16" x14ac:dyDescent="0.2">
      <c r="A1049" s="16" t="s">
        <v>2275</v>
      </c>
      <c r="B1049" s="34">
        <v>44085</v>
      </c>
      <c r="C1049" s="16">
        <v>23</v>
      </c>
      <c r="D1049" s="17" t="str">
        <f>IF(C1049="","",VLOOKUP(C1049,'Objekt Aufstellung'!$A$2:$B$51,2))</f>
        <v>Börnestraße 2</v>
      </c>
      <c r="E1049" s="17" t="s">
        <v>507</v>
      </c>
      <c r="F1049" s="17" t="s">
        <v>17</v>
      </c>
      <c r="G1049" s="18" t="s">
        <v>1655</v>
      </c>
      <c r="H1049" s="17" t="s">
        <v>23</v>
      </c>
      <c r="I1049" s="23" t="s">
        <v>71</v>
      </c>
      <c r="J1049" s="21"/>
    </row>
    <row r="1050" spans="1:10" ht="16" x14ac:dyDescent="0.2">
      <c r="A1050" s="16" t="s">
        <v>2276</v>
      </c>
      <c r="B1050" s="34">
        <v>44088</v>
      </c>
      <c r="C1050" s="16">
        <v>24</v>
      </c>
      <c r="D1050" s="17" t="str">
        <f>IF(C1050="","",VLOOKUP(C1050,'Objekt Aufstellung'!$A$2:$B$51,2))</f>
        <v>Angerbenden 31</v>
      </c>
      <c r="E1050" s="17" t="s">
        <v>36</v>
      </c>
      <c r="F1050" s="17" t="s">
        <v>1897</v>
      </c>
      <c r="G1050" s="18" t="s">
        <v>2327</v>
      </c>
      <c r="H1050" s="17" t="s">
        <v>13</v>
      </c>
      <c r="I1050" s="23" t="s">
        <v>411</v>
      </c>
      <c r="J1050" s="21"/>
    </row>
    <row r="1051" spans="1:10" ht="16" x14ac:dyDescent="0.2">
      <c r="A1051" s="16" t="s">
        <v>2277</v>
      </c>
      <c r="B1051" s="34">
        <v>44076</v>
      </c>
      <c r="C1051" s="16">
        <v>19</v>
      </c>
      <c r="D1051" s="17" t="str">
        <f>IF(C1051="","",VLOOKUP(C1051,'Objekt Aufstellung'!$A$2:$B$51,2))</f>
        <v>Alte Bachstraße 25</v>
      </c>
      <c r="E1051" s="17" t="s">
        <v>657</v>
      </c>
      <c r="F1051" s="17"/>
      <c r="G1051" s="18" t="s">
        <v>2423</v>
      </c>
      <c r="H1051" s="17" t="s">
        <v>13</v>
      </c>
      <c r="I1051" s="23" t="s">
        <v>167</v>
      </c>
      <c r="J1051" s="21" t="s">
        <v>167</v>
      </c>
    </row>
    <row r="1052" spans="1:10" ht="16" x14ac:dyDescent="0.2">
      <c r="A1052" s="16" t="s">
        <v>2278</v>
      </c>
      <c r="B1052" s="34">
        <v>44089</v>
      </c>
      <c r="C1052" s="16">
        <v>16</v>
      </c>
      <c r="D1052" s="17" t="str">
        <f>IF(C1052="","",VLOOKUP(C1052,'Objekt Aufstellung'!$A$2:$B$51,2))</f>
        <v>Hoppengarten 17</v>
      </c>
      <c r="E1052" s="17" t="s">
        <v>10</v>
      </c>
      <c r="F1052" s="17" t="s">
        <v>2424</v>
      </c>
      <c r="G1052" s="18" t="s">
        <v>2425</v>
      </c>
      <c r="H1052" s="17" t="s">
        <v>13</v>
      </c>
      <c r="I1052" s="23" t="s">
        <v>14</v>
      </c>
      <c r="J1052" s="21" t="s">
        <v>14</v>
      </c>
    </row>
    <row r="1053" spans="1:10" ht="16" x14ac:dyDescent="0.2">
      <c r="A1053" s="16" t="s">
        <v>2279</v>
      </c>
      <c r="B1053" s="34">
        <v>44090</v>
      </c>
      <c r="C1053" s="16">
        <v>45</v>
      </c>
      <c r="D1053" s="17" t="str">
        <f>IF(C1053="","",VLOOKUP(C1053,'Objekt Aufstellung'!$A$2:$B$51,2))</f>
        <v>Neumühler Straße 39</v>
      </c>
      <c r="E1053" s="17" t="s">
        <v>358</v>
      </c>
      <c r="F1053" s="17" t="s">
        <v>1110</v>
      </c>
      <c r="G1053" s="18" t="s">
        <v>2426</v>
      </c>
      <c r="H1053" s="17" t="s">
        <v>13</v>
      </c>
      <c r="I1053" s="23" t="s">
        <v>30</v>
      </c>
      <c r="J1053" s="21" t="s">
        <v>30</v>
      </c>
    </row>
    <row r="1054" spans="1:10" ht="16" x14ac:dyDescent="0.2">
      <c r="A1054" s="16" t="s">
        <v>2280</v>
      </c>
      <c r="B1054" s="34">
        <v>44096</v>
      </c>
      <c r="C1054" s="16">
        <v>16</v>
      </c>
      <c r="D1054" s="17" t="str">
        <f>IF(C1054="","",VLOOKUP(C1054,'Objekt Aufstellung'!$A$2:$B$51,2))</f>
        <v>Hoppengarten 17</v>
      </c>
      <c r="E1054" s="17" t="s">
        <v>10</v>
      </c>
      <c r="F1054" s="17" t="s">
        <v>2424</v>
      </c>
      <c r="G1054" s="18" t="s">
        <v>2430</v>
      </c>
      <c r="H1054" s="17" t="s">
        <v>13</v>
      </c>
      <c r="I1054" s="23" t="s">
        <v>1267</v>
      </c>
      <c r="J1054" s="21" t="s">
        <v>1267</v>
      </c>
    </row>
    <row r="1055" spans="1:10" ht="32" x14ac:dyDescent="0.2">
      <c r="A1055" s="16" t="s">
        <v>2281</v>
      </c>
      <c r="B1055" s="34">
        <v>44096</v>
      </c>
      <c r="C1055" s="16">
        <v>31</v>
      </c>
      <c r="D1055" s="17" t="str">
        <f>IF(C1055="","",VLOOKUP(C1055,'Objekt Aufstellung'!$A$2:$B$51,2))</f>
        <v>Angermunder Straße 30</v>
      </c>
      <c r="E1055" s="17" t="s">
        <v>2427</v>
      </c>
      <c r="F1055" s="17" t="s">
        <v>2428</v>
      </c>
      <c r="G1055" s="18" t="s">
        <v>2429</v>
      </c>
      <c r="H1055" s="17" t="s">
        <v>23</v>
      </c>
      <c r="I1055" s="23" t="s">
        <v>14</v>
      </c>
      <c r="J1055" s="21"/>
    </row>
    <row r="1056" spans="1:10" ht="16" x14ac:dyDescent="0.2">
      <c r="A1056" s="16" t="s">
        <v>2282</v>
      </c>
      <c r="B1056" s="34">
        <v>44096</v>
      </c>
      <c r="C1056" s="16">
        <v>11</v>
      </c>
      <c r="D1056" s="17" t="str">
        <f>IF(C1056="","",VLOOKUP(C1056,'Objekt Aufstellung'!$A$2:$B$51,2))</f>
        <v>Kölner Landstraße 261</v>
      </c>
      <c r="E1056" s="17" t="s">
        <v>2431</v>
      </c>
      <c r="F1056" s="17" t="s">
        <v>2061</v>
      </c>
      <c r="G1056" s="18" t="s">
        <v>2432</v>
      </c>
      <c r="H1056" s="17" t="s">
        <v>23</v>
      </c>
      <c r="I1056" s="23" t="s">
        <v>14</v>
      </c>
      <c r="J1056" s="21" t="s">
        <v>14</v>
      </c>
    </row>
    <row r="1057" spans="1:10" ht="16" x14ac:dyDescent="0.2">
      <c r="A1057" s="16" t="s">
        <v>2283</v>
      </c>
      <c r="B1057" s="34">
        <v>44097</v>
      </c>
      <c r="C1057" s="16">
        <v>19</v>
      </c>
      <c r="D1057" s="17" t="str">
        <f>IF(C1057="","",VLOOKUP(C1057,'Objekt Aufstellung'!$A$2:$B$51,2))</f>
        <v>Alte Bachstraße 25</v>
      </c>
      <c r="E1057" s="17" t="s">
        <v>2433</v>
      </c>
      <c r="F1057" s="17" t="s">
        <v>2434</v>
      </c>
      <c r="G1057" s="18" t="s">
        <v>2435</v>
      </c>
      <c r="H1057" s="17" t="s">
        <v>463</v>
      </c>
      <c r="I1057" s="23" t="s">
        <v>14</v>
      </c>
      <c r="J1057" s="21" t="s">
        <v>14</v>
      </c>
    </row>
    <row r="1058" spans="1:10" ht="16" x14ac:dyDescent="0.2">
      <c r="A1058" s="16" t="s">
        <v>2284</v>
      </c>
      <c r="B1058" s="34">
        <v>44097</v>
      </c>
      <c r="C1058" s="16">
        <v>44</v>
      </c>
      <c r="D1058" s="17" t="str">
        <f>IF(C1058="","",VLOOKUP(C1058,'Objekt Aufstellung'!$A$2:$B$51,2))</f>
        <v>Neumühler Straße 37</v>
      </c>
      <c r="E1058" s="17" t="s">
        <v>1026</v>
      </c>
      <c r="F1058" s="17" t="s">
        <v>2438</v>
      </c>
      <c r="G1058" s="18" t="s">
        <v>2436</v>
      </c>
      <c r="H1058" s="17" t="s">
        <v>463</v>
      </c>
      <c r="I1058" s="23" t="s">
        <v>14</v>
      </c>
      <c r="J1058" s="21" t="s">
        <v>14</v>
      </c>
    </row>
    <row r="1059" spans="1:10" ht="16" x14ac:dyDescent="0.2">
      <c r="A1059" s="16" t="s">
        <v>2308</v>
      </c>
      <c r="B1059" s="34">
        <v>44097</v>
      </c>
      <c r="C1059" s="16">
        <v>46</v>
      </c>
      <c r="D1059" s="17" t="str">
        <f>IF(C1059="","",VLOOKUP(C1059,'Objekt Aufstellung'!$A$2:$B$51,2))</f>
        <v>Neumühler Straße 41</v>
      </c>
      <c r="E1059" s="17" t="s">
        <v>637</v>
      </c>
      <c r="F1059" s="17" t="s">
        <v>2437</v>
      </c>
      <c r="G1059" s="18" t="s">
        <v>2439</v>
      </c>
      <c r="H1059" s="17" t="s">
        <v>463</v>
      </c>
      <c r="I1059" s="23" t="s">
        <v>14</v>
      </c>
      <c r="J1059" s="21" t="s">
        <v>14</v>
      </c>
    </row>
    <row r="1060" spans="1:10" ht="16" x14ac:dyDescent="0.2">
      <c r="A1060" s="16" t="s">
        <v>2309</v>
      </c>
      <c r="B1060" s="34">
        <v>44097</v>
      </c>
      <c r="C1060" s="16">
        <v>7</v>
      </c>
      <c r="D1060" s="17" t="str">
        <f>IF(C1060="","",VLOOKUP(C1060,'Objekt Aufstellung'!$A$2:$B$51,2))</f>
        <v>Engerstraße 3</v>
      </c>
      <c r="E1060" s="17" t="s">
        <v>466</v>
      </c>
      <c r="F1060" s="17"/>
      <c r="G1060" s="18" t="s">
        <v>2461</v>
      </c>
      <c r="H1060" s="17" t="s">
        <v>463</v>
      </c>
      <c r="I1060" s="23" t="s">
        <v>14</v>
      </c>
      <c r="J1060" s="21"/>
    </row>
    <row r="1061" spans="1:10" ht="32" x14ac:dyDescent="0.2">
      <c r="A1061" s="16" t="s">
        <v>2310</v>
      </c>
      <c r="B1061" s="34">
        <v>44097</v>
      </c>
      <c r="C1061" s="16">
        <v>21</v>
      </c>
      <c r="D1061" s="17" t="str">
        <f>IF(C1061="","",VLOOKUP(C1061,'Objekt Aufstellung'!$A$2:$B$51,2))</f>
        <v>Broicherdorfstraße 3</v>
      </c>
      <c r="E1061" s="17" t="s">
        <v>269</v>
      </c>
      <c r="F1061" s="17" t="s">
        <v>2440</v>
      </c>
      <c r="G1061" s="18" t="s">
        <v>2441</v>
      </c>
      <c r="H1061" s="17" t="s">
        <v>23</v>
      </c>
      <c r="I1061" s="23" t="s">
        <v>312</v>
      </c>
      <c r="J1061" s="21"/>
    </row>
    <row r="1062" spans="1:10" ht="16" x14ac:dyDescent="0.2">
      <c r="A1062" s="16" t="s">
        <v>2311</v>
      </c>
      <c r="B1062" s="34">
        <v>44099</v>
      </c>
      <c r="C1062" s="16">
        <v>23</v>
      </c>
      <c r="D1062" s="17" t="str">
        <f>IF(C1062="","",VLOOKUP(C1062,'Objekt Aufstellung'!$A$2:$B$51,2))</f>
        <v>Börnestraße 2</v>
      </c>
      <c r="E1062" s="17" t="s">
        <v>507</v>
      </c>
      <c r="F1062" s="17" t="s">
        <v>17</v>
      </c>
      <c r="G1062" s="18" t="s">
        <v>989</v>
      </c>
      <c r="H1062" s="17" t="s">
        <v>23</v>
      </c>
      <c r="I1062" s="23" t="s">
        <v>119</v>
      </c>
      <c r="J1062" s="21"/>
    </row>
    <row r="1063" spans="1:10" ht="16" x14ac:dyDescent="0.2">
      <c r="A1063" s="16" t="s">
        <v>2312</v>
      </c>
      <c r="B1063" s="34">
        <v>44099</v>
      </c>
      <c r="C1063" s="16">
        <v>20</v>
      </c>
      <c r="D1063" s="17" t="str">
        <f>IF(C1063="","",VLOOKUP(C1063,'Objekt Aufstellung'!$A$2:$B$51,2))</f>
        <v>Kranzstraße 103</v>
      </c>
      <c r="E1063" s="17" t="s">
        <v>766</v>
      </c>
      <c r="F1063" s="17" t="s">
        <v>2442</v>
      </c>
      <c r="G1063" s="18" t="s">
        <v>1150</v>
      </c>
      <c r="H1063" s="17" t="s">
        <v>463</v>
      </c>
      <c r="I1063" s="36" t="s">
        <v>312</v>
      </c>
      <c r="J1063" s="36"/>
    </row>
    <row r="1064" spans="1:10" ht="32" x14ac:dyDescent="0.2">
      <c r="A1064" s="16" t="s">
        <v>2313</v>
      </c>
      <c r="B1064" s="34">
        <v>44099</v>
      </c>
      <c r="C1064" s="16">
        <v>46</v>
      </c>
      <c r="D1064" s="17" t="str">
        <f>IF(C1064="","",VLOOKUP(C1064,'Objekt Aufstellung'!$A$2:$B$51,2))</f>
        <v>Neumühler Straße 41</v>
      </c>
      <c r="E1064" s="17" t="s">
        <v>2443</v>
      </c>
      <c r="F1064" s="17" t="s">
        <v>2444</v>
      </c>
      <c r="G1064" s="18" t="s">
        <v>2475</v>
      </c>
      <c r="H1064" s="17" t="s">
        <v>463</v>
      </c>
      <c r="I1064" s="36" t="s">
        <v>423</v>
      </c>
      <c r="J1064" s="36" t="s">
        <v>423</v>
      </c>
    </row>
    <row r="1065" spans="1:10" ht="16" x14ac:dyDescent="0.2">
      <c r="A1065" s="16" t="s">
        <v>2314</v>
      </c>
      <c r="B1065" s="34">
        <v>44102</v>
      </c>
      <c r="C1065" s="16">
        <v>19</v>
      </c>
      <c r="D1065" s="17" t="str">
        <f>IF(C1065="","",VLOOKUP(C1065,'Objekt Aufstellung'!$A$2:$B$51,2))</f>
        <v>Alte Bachstraße 25</v>
      </c>
      <c r="E1065" s="17" t="s">
        <v>766</v>
      </c>
      <c r="F1065" s="17" t="s">
        <v>2446</v>
      </c>
      <c r="G1065" s="18" t="s">
        <v>2445</v>
      </c>
      <c r="H1065" s="17" t="s">
        <v>23</v>
      </c>
      <c r="I1065" s="23" t="s">
        <v>14</v>
      </c>
      <c r="J1065" s="21" t="s">
        <v>14</v>
      </c>
    </row>
    <row r="1066" spans="1:10" ht="16" x14ac:dyDescent="0.2">
      <c r="A1066" s="16" t="s">
        <v>2315</v>
      </c>
      <c r="B1066" s="34">
        <v>44102</v>
      </c>
      <c r="C1066" s="16">
        <v>6</v>
      </c>
      <c r="D1066" s="17" t="str">
        <f>IF(C1066="","",VLOOKUP(C1066,'Objekt Aufstellung'!$A$2:$B$51,2))</f>
        <v>Lindenstraße 267</v>
      </c>
      <c r="E1066" s="17" t="s">
        <v>27</v>
      </c>
      <c r="F1066" s="17" t="s">
        <v>2447</v>
      </c>
      <c r="G1066" s="18" t="s">
        <v>2448</v>
      </c>
      <c r="H1066" s="17" t="s">
        <v>463</v>
      </c>
      <c r="I1066" s="23" t="s">
        <v>14</v>
      </c>
      <c r="J1066" s="21" t="s">
        <v>14</v>
      </c>
    </row>
    <row r="1067" spans="1:10" ht="16" x14ac:dyDescent="0.2">
      <c r="A1067" s="16" t="s">
        <v>2316</v>
      </c>
      <c r="B1067" s="34">
        <v>44103</v>
      </c>
      <c r="C1067" s="16">
        <v>26</v>
      </c>
      <c r="D1067" s="17" t="str">
        <f>IF(C1067="","",VLOOKUP(C1067,'Objekt Aufstellung'!$A$2:$B$51,2))</f>
        <v>Koppelskamp 12</v>
      </c>
      <c r="E1067" s="17" t="s">
        <v>245</v>
      </c>
      <c r="F1067" s="17" t="s">
        <v>2449</v>
      </c>
      <c r="G1067" s="18" t="s">
        <v>2450</v>
      </c>
      <c r="H1067" s="17" t="s">
        <v>23</v>
      </c>
      <c r="I1067" s="23" t="s">
        <v>2451</v>
      </c>
      <c r="J1067" s="21"/>
    </row>
    <row r="1068" spans="1:10" ht="16" x14ac:dyDescent="0.2">
      <c r="A1068" s="16" t="s">
        <v>2317</v>
      </c>
      <c r="B1068" s="34">
        <v>44104</v>
      </c>
      <c r="C1068" s="16">
        <v>24</v>
      </c>
      <c r="D1068" s="17" t="str">
        <f>IF(C1068="","",VLOOKUP(C1068,'Objekt Aufstellung'!$A$2:$B$51,2))</f>
        <v>Angerbenden 31</v>
      </c>
      <c r="E1068" s="17" t="s">
        <v>291</v>
      </c>
      <c r="F1068" s="17"/>
      <c r="G1068" s="18" t="s">
        <v>2452</v>
      </c>
      <c r="H1068" s="17" t="s">
        <v>23</v>
      </c>
      <c r="I1068" s="23" t="s">
        <v>2080</v>
      </c>
      <c r="J1068" s="21"/>
    </row>
    <row r="1069" spans="1:10" ht="16" x14ac:dyDescent="0.2">
      <c r="A1069" s="16" t="s">
        <v>2318</v>
      </c>
      <c r="B1069" s="34">
        <v>44104</v>
      </c>
      <c r="C1069" s="16">
        <v>4</v>
      </c>
      <c r="D1069" s="17" t="str">
        <f>IF(C1069="","",VLOOKUP(C1069,'Objekt Aufstellung'!$A$2:$B$51,2))</f>
        <v>Neanderstraße 15</v>
      </c>
      <c r="E1069" s="17" t="s">
        <v>1026</v>
      </c>
      <c r="F1069" s="17" t="s">
        <v>2453</v>
      </c>
      <c r="G1069" s="18" t="s">
        <v>1290</v>
      </c>
      <c r="H1069" s="17" t="s">
        <v>23</v>
      </c>
      <c r="I1069" s="23" t="s">
        <v>181</v>
      </c>
      <c r="J1069" s="21"/>
    </row>
    <row r="1070" spans="1:10" ht="16" x14ac:dyDescent="0.2">
      <c r="A1070" s="16" t="s">
        <v>2319</v>
      </c>
      <c r="B1070" s="34">
        <v>44104</v>
      </c>
      <c r="C1070" s="16">
        <v>46</v>
      </c>
      <c r="D1070" s="17" t="str">
        <f>IF(C1070="","",VLOOKUP(C1070,'Objekt Aufstellung'!$A$2:$B$51,2))</f>
        <v>Neumühler Straße 41</v>
      </c>
      <c r="E1070" s="17" t="s">
        <v>60</v>
      </c>
      <c r="F1070" s="17" t="s">
        <v>2444</v>
      </c>
      <c r="G1070" s="18" t="s">
        <v>2454</v>
      </c>
      <c r="H1070" s="17" t="s">
        <v>23</v>
      </c>
      <c r="I1070" s="23" t="s">
        <v>232</v>
      </c>
      <c r="J1070" s="21" t="s">
        <v>232</v>
      </c>
    </row>
    <row r="1071" spans="1:10" ht="16" x14ac:dyDescent="0.2">
      <c r="A1071" s="16" t="s">
        <v>2320</v>
      </c>
      <c r="B1071" s="34">
        <v>44103</v>
      </c>
      <c r="C1071" s="16">
        <v>2</v>
      </c>
      <c r="D1071" s="17" t="str">
        <f>IF(C1071="","",VLOOKUP(C1071,'Objekt Aufstellung'!$A$2:$B$51,2))</f>
        <v>Pfalzstraße 17</v>
      </c>
      <c r="E1071" s="17" t="s">
        <v>2455</v>
      </c>
      <c r="F1071" s="17" t="s">
        <v>2456</v>
      </c>
      <c r="G1071" s="18" t="s">
        <v>2457</v>
      </c>
      <c r="H1071" s="17" t="s">
        <v>23</v>
      </c>
      <c r="I1071" s="23" t="s">
        <v>181</v>
      </c>
      <c r="J1071" s="21"/>
    </row>
    <row r="1072" spans="1:10" ht="16" x14ac:dyDescent="0.2">
      <c r="A1072" s="16" t="s">
        <v>2328</v>
      </c>
      <c r="B1072" s="34">
        <v>44106</v>
      </c>
      <c r="C1072" s="16">
        <v>12</v>
      </c>
      <c r="D1072" s="17" t="str">
        <f>IF(C1072="","",VLOOKUP(C1072,'Objekt Aufstellung'!$A$2:$B$51,2))</f>
        <v>Merowingerstr. 17</v>
      </c>
      <c r="E1072" s="17" t="s">
        <v>2458</v>
      </c>
      <c r="F1072" s="17" t="s">
        <v>2459</v>
      </c>
      <c r="G1072" s="18" t="s">
        <v>2460</v>
      </c>
      <c r="H1072" s="17" t="s">
        <v>23</v>
      </c>
      <c r="I1072" s="23" t="s">
        <v>48</v>
      </c>
      <c r="J1072" s="21"/>
    </row>
    <row r="1073" spans="1:10" ht="16" x14ac:dyDescent="0.2">
      <c r="A1073" s="16" t="s">
        <v>2329</v>
      </c>
      <c r="B1073" s="34">
        <v>44110</v>
      </c>
      <c r="C1073" s="16">
        <v>8</v>
      </c>
      <c r="D1073" s="17" t="str">
        <f>IF(C1073="","",VLOOKUP(C1073,'Objekt Aufstellung'!$A$2:$B$51,2))</f>
        <v>Schützenstraße 20</v>
      </c>
      <c r="E1073" s="17" t="s">
        <v>1824</v>
      </c>
      <c r="F1073" s="17" t="s">
        <v>2462</v>
      </c>
      <c r="G1073" s="18" t="s">
        <v>2463</v>
      </c>
      <c r="H1073" s="17" t="s">
        <v>13</v>
      </c>
      <c r="I1073" s="23" t="s">
        <v>14</v>
      </c>
      <c r="J1073" s="21"/>
    </row>
    <row r="1074" spans="1:10" ht="32" x14ac:dyDescent="0.2">
      <c r="A1074" s="16" t="s">
        <v>2330</v>
      </c>
      <c r="B1074" s="34">
        <v>44110</v>
      </c>
      <c r="C1074" s="16">
        <v>33</v>
      </c>
      <c r="D1074" s="17" t="str">
        <f>IF(C1074="","",VLOOKUP(C1074,'Objekt Aufstellung'!$A$2:$B$51,2))</f>
        <v>Koppelskamp 5a</v>
      </c>
      <c r="E1074" s="17" t="s">
        <v>40</v>
      </c>
      <c r="F1074" s="17" t="s">
        <v>2464</v>
      </c>
      <c r="G1074" s="18" t="s">
        <v>2465</v>
      </c>
      <c r="H1074" s="17" t="s">
        <v>13</v>
      </c>
      <c r="I1074" s="23" t="s">
        <v>922</v>
      </c>
      <c r="J1074" s="21"/>
    </row>
    <row r="1075" spans="1:10" ht="16" x14ac:dyDescent="0.2">
      <c r="A1075" s="16" t="s">
        <v>2331</v>
      </c>
      <c r="B1075" s="34">
        <v>44111</v>
      </c>
      <c r="C1075" s="16">
        <v>36</v>
      </c>
      <c r="D1075" s="17" t="str">
        <f>IF(C1075="","",VLOOKUP(C1075,'Objekt Aufstellung'!$A$2:$B$51,2))</f>
        <v>Lintorfer Waldstraße 8</v>
      </c>
      <c r="E1075" s="17" t="s">
        <v>358</v>
      </c>
      <c r="F1075" s="17" t="s">
        <v>2049</v>
      </c>
      <c r="G1075" s="18" t="s">
        <v>2466</v>
      </c>
      <c r="H1075" s="17" t="s">
        <v>13</v>
      </c>
      <c r="I1075" s="23" t="s">
        <v>71</v>
      </c>
      <c r="J1075" s="21"/>
    </row>
    <row r="1076" spans="1:10" ht="16" x14ac:dyDescent="0.2">
      <c r="A1076" s="16" t="s">
        <v>2332</v>
      </c>
      <c r="B1076" s="34">
        <v>44111</v>
      </c>
      <c r="C1076" s="16">
        <v>10</v>
      </c>
      <c r="D1076" s="17" t="str">
        <f>IF(C1076="","",VLOOKUP(C1076,'Objekt Aufstellung'!$A$2:$B$51,2))</f>
        <v>Driburger Straße 8</v>
      </c>
      <c r="E1076" s="17" t="s">
        <v>32</v>
      </c>
      <c r="F1076" s="17" t="s">
        <v>2124</v>
      </c>
      <c r="G1076" s="18" t="s">
        <v>2467</v>
      </c>
      <c r="H1076" s="17" t="s">
        <v>13</v>
      </c>
      <c r="I1076" s="23" t="s">
        <v>119</v>
      </c>
      <c r="J1076" s="21"/>
    </row>
    <row r="1077" spans="1:10" ht="16" x14ac:dyDescent="0.2">
      <c r="A1077" s="16" t="s">
        <v>2333</v>
      </c>
      <c r="B1077" s="34">
        <v>44111</v>
      </c>
      <c r="C1077" s="16">
        <v>26</v>
      </c>
      <c r="D1077" s="17" t="str">
        <f>IF(C1077="","",VLOOKUP(C1077,'Objekt Aufstellung'!$A$2:$B$51,2))</f>
        <v>Koppelskamp 12</v>
      </c>
      <c r="E1077" s="17" t="s">
        <v>10</v>
      </c>
      <c r="F1077" s="17" t="s">
        <v>2449</v>
      </c>
      <c r="G1077" s="18" t="s">
        <v>2469</v>
      </c>
      <c r="H1077" s="17" t="s">
        <v>13</v>
      </c>
      <c r="I1077" s="23" t="s">
        <v>2451</v>
      </c>
      <c r="J1077" s="21"/>
    </row>
    <row r="1078" spans="1:10" ht="16" x14ac:dyDescent="0.2">
      <c r="A1078" s="16" t="s">
        <v>2334</v>
      </c>
      <c r="B1078" s="34">
        <v>44111</v>
      </c>
      <c r="C1078" s="16">
        <v>17</v>
      </c>
      <c r="D1078" s="17" t="str">
        <f>IF(C1078="","",VLOOKUP(C1078,'Objekt Aufstellung'!$A$2:$B$51,2))</f>
        <v>Kölner Straße 215</v>
      </c>
      <c r="E1078" s="17" t="s">
        <v>16</v>
      </c>
      <c r="F1078" s="17" t="s">
        <v>1876</v>
      </c>
      <c r="G1078" s="18" t="s">
        <v>2472</v>
      </c>
      <c r="H1078" s="17" t="s">
        <v>13</v>
      </c>
      <c r="I1078" s="23" t="s">
        <v>48</v>
      </c>
      <c r="J1078" s="21"/>
    </row>
    <row r="1079" spans="1:10" ht="16" x14ac:dyDescent="0.2">
      <c r="A1079" s="16" t="s">
        <v>2335</v>
      </c>
      <c r="B1079" s="34">
        <v>44111</v>
      </c>
      <c r="C1079" s="16">
        <v>10</v>
      </c>
      <c r="D1079" s="17" t="str">
        <f>IF(C1079="","",VLOOKUP(C1079,'Objekt Aufstellung'!$A$2:$B$51,2))</f>
        <v>Driburger Straße 8</v>
      </c>
      <c r="E1079" s="17" t="s">
        <v>16</v>
      </c>
      <c r="F1079" s="17" t="s">
        <v>17</v>
      </c>
      <c r="G1079" s="18" t="s">
        <v>1405</v>
      </c>
      <c r="H1079" s="17" t="s">
        <v>13</v>
      </c>
      <c r="I1079" s="23" t="s">
        <v>71</v>
      </c>
      <c r="J1079" s="21"/>
    </row>
    <row r="1080" spans="1:10" ht="16" x14ac:dyDescent="0.2">
      <c r="A1080" s="16" t="s">
        <v>2336</v>
      </c>
      <c r="B1080" s="34">
        <v>44111</v>
      </c>
      <c r="C1080" s="16">
        <v>43</v>
      </c>
      <c r="D1080" s="17" t="str">
        <f>IF(C1080="","",VLOOKUP(C1080,'Objekt Aufstellung'!$A$2:$B$51,2))</f>
        <v>Neumühler Straße 35</v>
      </c>
      <c r="E1080" s="17" t="s">
        <v>10</v>
      </c>
      <c r="F1080" s="17" t="s">
        <v>17</v>
      </c>
      <c r="G1080" s="18" t="s">
        <v>737</v>
      </c>
      <c r="H1080" s="17" t="s">
        <v>13</v>
      </c>
      <c r="I1080" s="23" t="s">
        <v>411</v>
      </c>
      <c r="J1080" s="21"/>
    </row>
    <row r="1081" spans="1:10" ht="16" x14ac:dyDescent="0.2">
      <c r="A1081" s="16" t="s">
        <v>2337</v>
      </c>
      <c r="B1081" s="34">
        <v>44111</v>
      </c>
      <c r="C1081" s="16">
        <v>43</v>
      </c>
      <c r="D1081" s="17" t="str">
        <f>IF(C1081="","",VLOOKUP(C1081,'Objekt Aufstellung'!$A$2:$B$51,2))</f>
        <v>Neumühler Straße 35</v>
      </c>
      <c r="E1081" s="17" t="s">
        <v>10</v>
      </c>
      <c r="F1081" s="17" t="s">
        <v>17</v>
      </c>
      <c r="G1081" s="18" t="s">
        <v>1405</v>
      </c>
      <c r="H1081" s="17" t="s">
        <v>13</v>
      </c>
      <c r="I1081" s="23" t="s">
        <v>71</v>
      </c>
      <c r="J1081" s="21"/>
    </row>
    <row r="1082" spans="1:10" ht="16" x14ac:dyDescent="0.2">
      <c r="A1082" s="16" t="s">
        <v>2338</v>
      </c>
      <c r="B1082" s="34">
        <v>44112</v>
      </c>
      <c r="C1082" s="16">
        <v>3</v>
      </c>
      <c r="D1082" s="17" t="str">
        <f>IF(C1082="","",VLOOKUP(C1082,'Objekt Aufstellung'!$A$2:$B$51,2))</f>
        <v xml:space="preserve"> Schloßstraße 19</v>
      </c>
      <c r="E1082" s="17" t="s">
        <v>10</v>
      </c>
      <c r="F1082" s="17" t="s">
        <v>2473</v>
      </c>
      <c r="G1082" s="18" t="s">
        <v>2474</v>
      </c>
      <c r="H1082" s="17" t="s">
        <v>13</v>
      </c>
      <c r="I1082" s="23" t="s">
        <v>181</v>
      </c>
      <c r="J1082" s="21"/>
    </row>
    <row r="1083" spans="1:10" ht="16" x14ac:dyDescent="0.2">
      <c r="A1083" s="16" t="s">
        <v>2339</v>
      </c>
      <c r="B1083" s="34">
        <v>44112</v>
      </c>
      <c r="C1083" s="16">
        <v>25</v>
      </c>
      <c r="D1083" s="17" t="str">
        <f>IF(C1083="","",VLOOKUP(C1083,'Objekt Aufstellung'!$A$2:$B$51,2))</f>
        <v>Koppelskamp 10</v>
      </c>
      <c r="E1083" s="17" t="s">
        <v>358</v>
      </c>
      <c r="F1083" s="17" t="s">
        <v>2477</v>
      </c>
      <c r="G1083" s="18" t="s">
        <v>2478</v>
      </c>
      <c r="H1083" s="17" t="s">
        <v>13</v>
      </c>
      <c r="I1083" s="36" t="s">
        <v>423</v>
      </c>
      <c r="J1083" s="21"/>
    </row>
    <row r="1084" spans="1:10" ht="16" x14ac:dyDescent="0.2">
      <c r="A1084" s="16" t="s">
        <v>2340</v>
      </c>
      <c r="B1084" s="34">
        <v>44113</v>
      </c>
      <c r="C1084" s="16">
        <v>19</v>
      </c>
      <c r="D1084" s="17" t="str">
        <f>IF(C1084="","",VLOOKUP(C1084,'Objekt Aufstellung'!$A$2:$B$51,2))</f>
        <v>Alte Bachstraße 25</v>
      </c>
      <c r="E1084" s="17" t="s">
        <v>2480</v>
      </c>
      <c r="F1084" s="17" t="s">
        <v>2481</v>
      </c>
      <c r="G1084" s="18" t="s">
        <v>2482</v>
      </c>
      <c r="H1084" s="17" t="s">
        <v>13</v>
      </c>
      <c r="I1084" s="23" t="s">
        <v>200</v>
      </c>
      <c r="J1084" s="21"/>
    </row>
    <row r="1085" spans="1:10" ht="16" x14ac:dyDescent="0.2">
      <c r="A1085" s="16" t="s">
        <v>2341</v>
      </c>
      <c r="B1085" s="34">
        <v>44113</v>
      </c>
      <c r="C1085" s="16">
        <v>2</v>
      </c>
      <c r="D1085" s="17" t="str">
        <f>IF(C1085="","",VLOOKUP(C1085,'Objekt Aufstellung'!$A$2:$B$51,2))</f>
        <v>Pfalzstraße 17</v>
      </c>
      <c r="E1085" s="17" t="s">
        <v>2486</v>
      </c>
      <c r="F1085" s="17" t="s">
        <v>2487</v>
      </c>
      <c r="G1085" s="18" t="s">
        <v>2488</v>
      </c>
      <c r="H1085" s="17" t="s">
        <v>13</v>
      </c>
      <c r="I1085" s="23" t="s">
        <v>181</v>
      </c>
      <c r="J1085" s="21"/>
    </row>
    <row r="1086" spans="1:10" x14ac:dyDescent="0.2">
      <c r="A1086" s="16" t="s">
        <v>2342</v>
      </c>
      <c r="B1086" s="34"/>
      <c r="C1086" s="16"/>
      <c r="D1086" s="17" t="str">
        <f>IF(C1086="","",VLOOKUP(C1086,'Objekt Aufstellung'!$A$2:$B$51,2))</f>
        <v/>
      </c>
      <c r="E1086" s="17"/>
      <c r="F1086" s="17"/>
      <c r="G1086" s="18"/>
      <c r="H1086" s="17"/>
      <c r="I1086" s="23"/>
      <c r="J1086" s="21"/>
    </row>
    <row r="1087" spans="1:10" x14ac:dyDescent="0.2">
      <c r="A1087" s="16" t="s">
        <v>2343</v>
      </c>
      <c r="B1087" s="34"/>
      <c r="C1087" s="16"/>
      <c r="D1087" s="17" t="str">
        <f>IF(C1087="","",VLOOKUP(C1087,'Objekt Aufstellung'!$A$2:$B$51,2))</f>
        <v/>
      </c>
      <c r="E1087" s="17"/>
      <c r="F1087" s="17"/>
      <c r="G1087" s="18"/>
      <c r="H1087" s="17"/>
      <c r="I1087" s="36"/>
      <c r="J1087" s="21"/>
    </row>
    <row r="1088" spans="1:10" x14ac:dyDescent="0.2">
      <c r="A1088" s="16" t="s">
        <v>2344</v>
      </c>
      <c r="B1088" s="34"/>
      <c r="C1088" s="16"/>
      <c r="D1088" s="17" t="str">
        <f>IF(C1088="","",VLOOKUP(C1088,'Objekt Aufstellung'!$A$2:$B$51,2))</f>
        <v/>
      </c>
      <c r="E1088" s="17"/>
      <c r="F1088" s="17"/>
      <c r="G1088" s="18"/>
      <c r="H1088" s="17"/>
      <c r="I1088" s="23"/>
      <c r="J1088" s="21"/>
    </row>
    <row r="1089" spans="1:16" x14ac:dyDescent="0.2">
      <c r="A1089" s="16" t="s">
        <v>2345</v>
      </c>
      <c r="B1089" s="34"/>
      <c r="C1089" s="16"/>
      <c r="D1089" s="17" t="str">
        <f>IF(C1089="","",VLOOKUP(C1089,'Objekt Aufstellung'!$A$2:$B$51,2))</f>
        <v/>
      </c>
      <c r="E1089" s="17"/>
      <c r="F1089" s="17"/>
      <c r="G1089" s="18"/>
      <c r="H1089" s="17"/>
      <c r="I1089" s="23"/>
      <c r="J1089" s="21"/>
    </row>
    <row r="1090" spans="1:16" x14ac:dyDescent="0.2">
      <c r="A1090" s="16" t="s">
        <v>2346</v>
      </c>
      <c r="B1090" s="34"/>
      <c r="C1090" s="16"/>
      <c r="D1090" s="17" t="str">
        <f>IF(C1090="","",VLOOKUP(C1090,'Objekt Aufstellung'!$A$2:$B$51,2))</f>
        <v/>
      </c>
      <c r="E1090" s="17"/>
      <c r="F1090" s="17"/>
      <c r="G1090" s="18"/>
      <c r="H1090" s="17"/>
      <c r="I1090" s="23"/>
      <c r="J1090" s="21"/>
    </row>
    <row r="1091" spans="1:16" x14ac:dyDescent="0.2">
      <c r="A1091" s="16" t="s">
        <v>2347</v>
      </c>
      <c r="B1091" s="34"/>
      <c r="C1091" s="16"/>
      <c r="D1091" s="17" t="str">
        <f>IF(C1091="","",VLOOKUP(C1091,'Objekt Aufstellung'!$A$2:$B$51,2))</f>
        <v/>
      </c>
      <c r="E1091" s="17"/>
      <c r="F1091" s="17"/>
      <c r="G1091" s="18"/>
      <c r="H1091" s="17"/>
      <c r="I1091" s="23"/>
      <c r="J1091" s="21"/>
    </row>
    <row r="1092" spans="1:16" x14ac:dyDescent="0.2">
      <c r="A1092" s="16" t="s">
        <v>2348</v>
      </c>
      <c r="B1092" s="34"/>
      <c r="C1092" s="16"/>
      <c r="D1092" s="17" t="str">
        <f>IF(C1092="","",VLOOKUP(C1092,'Objekt Aufstellung'!$A$2:$B$51,2))</f>
        <v/>
      </c>
      <c r="E1092" s="17"/>
      <c r="F1092" s="17"/>
      <c r="G1092" s="18"/>
      <c r="H1092" s="17"/>
      <c r="I1092" s="23"/>
      <c r="J1092" s="21"/>
    </row>
    <row r="1093" spans="1:16" x14ac:dyDescent="0.2">
      <c r="A1093" s="16" t="s">
        <v>2349</v>
      </c>
      <c r="B1093" s="34"/>
      <c r="C1093" s="16"/>
      <c r="D1093" s="17" t="str">
        <f>IF(C1093="","",VLOOKUP(C1093,'Objekt Aufstellung'!$A$2:$B$51,2))</f>
        <v/>
      </c>
      <c r="E1093" s="17"/>
      <c r="F1093" s="17"/>
      <c r="G1093" s="18"/>
      <c r="H1093" s="17"/>
      <c r="I1093" s="23"/>
      <c r="J1093" s="21"/>
    </row>
    <row r="1094" spans="1:16" x14ac:dyDescent="0.2">
      <c r="A1094" s="16" t="s">
        <v>2350</v>
      </c>
      <c r="B1094" s="34"/>
      <c r="C1094" s="16"/>
      <c r="D1094" s="17" t="str">
        <f>IF(C1094="","",VLOOKUP(C1094,'Objekt Aufstellung'!$A$2:$B$51,2))</f>
        <v/>
      </c>
      <c r="E1094" s="17"/>
      <c r="F1094" s="17"/>
      <c r="G1094" s="18"/>
      <c r="H1094" s="17"/>
      <c r="I1094" s="23"/>
      <c r="J1094" s="21"/>
    </row>
    <row r="1095" spans="1:16" x14ac:dyDescent="0.2">
      <c r="A1095" s="16" t="s">
        <v>2351</v>
      </c>
      <c r="B1095" s="34"/>
      <c r="C1095" s="16"/>
      <c r="D1095" s="17" t="str">
        <f>IF(C1095="","",VLOOKUP(C1095,'Objekt Aufstellung'!$A$2:$B$51,2))</f>
        <v/>
      </c>
      <c r="E1095" s="17"/>
      <c r="F1095" s="17"/>
      <c r="G1095" s="18"/>
      <c r="H1095" s="17"/>
      <c r="I1095" s="23"/>
      <c r="J1095" s="21"/>
    </row>
    <row r="1096" spans="1:16" x14ac:dyDescent="0.2">
      <c r="A1096" s="16" t="s">
        <v>2352</v>
      </c>
      <c r="B1096" s="34"/>
      <c r="C1096" s="16"/>
      <c r="D1096" s="17" t="str">
        <f>IF(C1096="","",VLOOKUP(C1096,'Objekt Aufstellung'!$A$2:$B$51,2))</f>
        <v/>
      </c>
      <c r="E1096" s="17"/>
      <c r="F1096" s="17"/>
      <c r="G1096" s="18"/>
      <c r="H1096" s="17"/>
      <c r="I1096" s="23"/>
      <c r="J1096" s="21"/>
    </row>
    <row r="1097" spans="1:16" x14ac:dyDescent="0.2">
      <c r="A1097" s="16" t="s">
        <v>2353</v>
      </c>
      <c r="B1097" s="34"/>
      <c r="C1097" s="16"/>
      <c r="D1097" s="17" t="str">
        <f>IF(C1097="","",VLOOKUP(C1097,'Objekt Aufstellung'!$A$2:$B$51,2))</f>
        <v/>
      </c>
      <c r="E1097" s="17"/>
      <c r="F1097" s="17"/>
      <c r="G1097" s="18"/>
      <c r="H1097" s="17"/>
      <c r="I1097" s="23"/>
      <c r="J1097" s="21"/>
    </row>
    <row r="1098" spans="1:16" x14ac:dyDescent="0.2">
      <c r="A1098" s="16" t="s">
        <v>2354</v>
      </c>
      <c r="B1098" s="34"/>
      <c r="C1098" s="16"/>
      <c r="D1098" s="17" t="str">
        <f>IF(C1098="","",VLOOKUP(C1098,'Objekt Aufstellung'!$A$2:$B$51,2))</f>
        <v/>
      </c>
      <c r="E1098" s="17"/>
      <c r="F1098" s="17"/>
      <c r="G1098" s="18"/>
      <c r="H1098" s="17"/>
      <c r="I1098" s="23"/>
      <c r="J1098" s="21"/>
    </row>
    <row r="1099" spans="1:16" x14ac:dyDescent="0.2">
      <c r="A1099" s="16" t="s">
        <v>2355</v>
      </c>
      <c r="B1099" s="34"/>
      <c r="C1099" s="16"/>
      <c r="D1099" s="17" t="str">
        <f>IF(C1099="","",VLOOKUP(C1099,'Objekt Aufstellung'!$A$2:$B$51,2))</f>
        <v/>
      </c>
      <c r="E1099" s="17"/>
      <c r="F1099" s="17"/>
      <c r="G1099" s="18"/>
      <c r="H1099" s="17"/>
      <c r="I1099" s="23"/>
      <c r="J1099" s="21"/>
    </row>
    <row r="1100" spans="1:16" x14ac:dyDescent="0.2">
      <c r="A1100" s="16" t="s">
        <v>2356</v>
      </c>
      <c r="B1100" s="34"/>
      <c r="C1100" s="16"/>
      <c r="D1100" s="17" t="str">
        <f>IF(C1100="","",VLOOKUP(C1100,'Objekt Aufstellung'!$A$2:$B$51,2))</f>
        <v/>
      </c>
      <c r="E1100" s="17"/>
      <c r="F1100" s="17"/>
      <c r="G1100" s="18"/>
      <c r="H1100" s="17"/>
      <c r="I1100" s="23"/>
      <c r="J1100" s="21"/>
    </row>
    <row r="1101" spans="1:16" x14ac:dyDescent="0.2">
      <c r="A1101" s="16" t="s">
        <v>2357</v>
      </c>
      <c r="B1101" s="34"/>
      <c r="C1101" s="16"/>
      <c r="D1101" s="17" t="str">
        <f>IF(C1101="","",VLOOKUP(C1101,'Objekt Aufstellung'!$A$2:$B$51,2))</f>
        <v/>
      </c>
      <c r="E1101" s="17"/>
      <c r="F1101" s="17"/>
      <c r="G1101" s="18"/>
      <c r="H1101" s="17"/>
      <c r="I1101" s="23"/>
      <c r="J1101" s="21"/>
    </row>
    <row r="1102" spans="1:16" x14ac:dyDescent="0.2">
      <c r="A1102" s="16" t="s">
        <v>2358</v>
      </c>
      <c r="B1102" s="34"/>
      <c r="C1102" s="16"/>
      <c r="D1102" s="17" t="str">
        <f>IF(C1102="","",VLOOKUP(C1102,'Objekt Aufstellung'!$A$2:$B$51,2))</f>
        <v/>
      </c>
      <c r="E1102" s="17"/>
      <c r="F1102" s="17"/>
      <c r="G1102" s="18"/>
      <c r="H1102" s="17"/>
      <c r="I1102" s="23"/>
      <c r="J1102" s="21"/>
    </row>
    <row r="1103" spans="1:16" x14ac:dyDescent="0.2">
      <c r="A1103" s="16" t="s">
        <v>2359</v>
      </c>
      <c r="B1103" s="34"/>
      <c r="C1103" s="16"/>
      <c r="D1103" s="17" t="str">
        <f>IF(C1103="","",VLOOKUP(C1103,'Objekt Aufstellung'!$A$2:$B$51,2))</f>
        <v/>
      </c>
      <c r="E1103" s="17"/>
      <c r="F1103" s="17"/>
      <c r="G1103" s="18"/>
      <c r="H1103" s="17"/>
      <c r="I1103" s="23"/>
      <c r="J1103" s="21"/>
    </row>
    <row r="1104" spans="1:16" x14ac:dyDescent="0.2">
      <c r="A1104" s="16" t="s">
        <v>2360</v>
      </c>
      <c r="B1104" s="34"/>
      <c r="C1104" s="16"/>
      <c r="D1104" s="17" t="str">
        <f>IF(C1104="","",VLOOKUP(C1104,'Objekt Aufstellung'!$A$2:$B$51,2))</f>
        <v/>
      </c>
      <c r="E1104" s="17"/>
      <c r="F1104" s="17"/>
      <c r="G1104" s="18"/>
      <c r="H1104" s="17"/>
      <c r="I1104" s="45"/>
      <c r="J1104" s="21"/>
      <c r="L1104">
        <v>43</v>
      </c>
      <c r="M1104" t="s">
        <v>75</v>
      </c>
      <c r="N1104" t="s">
        <v>693</v>
      </c>
      <c r="O1104" t="s">
        <v>789</v>
      </c>
      <c r="P1104" t="s">
        <v>790</v>
      </c>
    </row>
    <row r="1105" spans="1:16" x14ac:dyDescent="0.2">
      <c r="A1105" s="16" t="s">
        <v>2361</v>
      </c>
      <c r="B1105" s="34"/>
      <c r="C1105" s="16"/>
      <c r="D1105" s="17" t="str">
        <f>IF(C1105="","",VLOOKUP(C1105,'Objekt Aufstellung'!$A$2:$B$51,2))</f>
        <v/>
      </c>
      <c r="E1105" s="17"/>
      <c r="F1105" s="17"/>
      <c r="G1105" s="18"/>
      <c r="H1105" s="17"/>
      <c r="I1105" s="23"/>
      <c r="J1105" s="21"/>
      <c r="L1105">
        <v>29</v>
      </c>
      <c r="M1105" t="s">
        <v>675</v>
      </c>
      <c r="N1105" t="s">
        <v>791</v>
      </c>
      <c r="P1105" t="s">
        <v>792</v>
      </c>
    </row>
    <row r="1106" spans="1:16" x14ac:dyDescent="0.2">
      <c r="A1106" s="16" t="s">
        <v>2362</v>
      </c>
      <c r="B1106" s="34"/>
      <c r="C1106" s="16"/>
      <c r="D1106" s="17" t="str">
        <f>IF(C1106="","",VLOOKUP(C1106,'Objekt Aufstellung'!$A$2:$B$51,2))</f>
        <v/>
      </c>
      <c r="E1106" s="17"/>
      <c r="F1106" s="17"/>
      <c r="G1106" s="18"/>
      <c r="H1106" s="17"/>
      <c r="I1106" s="23"/>
      <c r="J1106" s="21"/>
      <c r="L1106">
        <v>5</v>
      </c>
      <c r="M1106" t="s">
        <v>695</v>
      </c>
      <c r="N1106" t="s">
        <v>793</v>
      </c>
      <c r="O1106" t="s">
        <v>794</v>
      </c>
      <c r="P1106" t="s">
        <v>795</v>
      </c>
    </row>
    <row r="1107" spans="1:16" x14ac:dyDescent="0.2">
      <c r="A1107" s="16" t="s">
        <v>2363</v>
      </c>
      <c r="B1107" s="34"/>
      <c r="C1107" s="16"/>
      <c r="D1107" s="17" t="str">
        <f>IF(C1107="","",VLOOKUP(C1107,'Objekt Aufstellung'!$A$2:$B$51,2))</f>
        <v/>
      </c>
      <c r="E1107" s="17"/>
      <c r="F1107" s="17"/>
      <c r="G1107" s="18"/>
      <c r="H1107" s="17"/>
      <c r="I1107" s="23"/>
      <c r="J1107" s="21"/>
      <c r="L1107">
        <v>46</v>
      </c>
      <c r="M1107" t="s">
        <v>640</v>
      </c>
      <c r="P1107" t="s">
        <v>1982</v>
      </c>
    </row>
    <row r="1108" spans="1:16" x14ac:dyDescent="0.2">
      <c r="A1108" s="16" t="s">
        <v>2364</v>
      </c>
      <c r="B1108" s="34"/>
      <c r="C1108" s="16"/>
      <c r="D1108" s="17" t="str">
        <f>IF(C1108="","",VLOOKUP(C1108,'Objekt Aufstellung'!$A$2:$B$51,2))</f>
        <v/>
      </c>
      <c r="E1108" s="17"/>
      <c r="F1108" s="17"/>
      <c r="G1108" s="18"/>
      <c r="H1108" s="17"/>
      <c r="I1108" s="23"/>
      <c r="J1108" s="21"/>
    </row>
    <row r="1109" spans="1:16" x14ac:dyDescent="0.2">
      <c r="A1109" s="16" t="s">
        <v>2365</v>
      </c>
      <c r="B1109" s="34"/>
      <c r="C1109" s="16"/>
      <c r="D1109" s="17" t="str">
        <f>IF(C1109="","",VLOOKUP(C1109,'Objekt Aufstellung'!$A$2:$B$51,2))</f>
        <v/>
      </c>
      <c r="E1109" s="17"/>
      <c r="F1109" s="17"/>
      <c r="G1109" s="18"/>
      <c r="H1109" s="17"/>
      <c r="I1109" s="23"/>
      <c r="J1109" s="21"/>
    </row>
    <row r="1110" spans="1:16" x14ac:dyDescent="0.2">
      <c r="A1110" s="16" t="s">
        <v>2366</v>
      </c>
      <c r="B1110" s="34"/>
      <c r="C1110" s="16"/>
      <c r="D1110" s="17" t="str">
        <f>IF(C1110="","",VLOOKUP(C1110,'Objekt Aufstellung'!$A$2:$B$51,2))</f>
        <v/>
      </c>
      <c r="E1110" s="17"/>
      <c r="F1110" s="17"/>
      <c r="G1110" s="18"/>
      <c r="H1110" s="17"/>
      <c r="I1110" s="23"/>
      <c r="J1110" s="21"/>
    </row>
    <row r="1111" spans="1:16" x14ac:dyDescent="0.2">
      <c r="A1111" s="16" t="s">
        <v>2367</v>
      </c>
      <c r="B1111" s="34"/>
      <c r="C1111" s="16"/>
      <c r="D1111" s="17" t="str">
        <f>IF(C1111="","",VLOOKUP(C1111,'Objekt Aufstellung'!$A$2:$B$51,2))</f>
        <v/>
      </c>
      <c r="E1111" s="17"/>
      <c r="F1111" s="17"/>
      <c r="G1111" s="18"/>
      <c r="H1111" s="17"/>
      <c r="I1111" s="23"/>
      <c r="J1111" s="21"/>
    </row>
    <row r="1112" spans="1:16" x14ac:dyDescent="0.2">
      <c r="A1112" s="16" t="s">
        <v>2368</v>
      </c>
      <c r="B1112" s="34"/>
      <c r="C1112" s="16"/>
      <c r="D1112" s="17" t="str">
        <f>IF(C1112="","",VLOOKUP(C1112,'Objekt Aufstellung'!$A$2:$B$51,2))</f>
        <v/>
      </c>
      <c r="E1112" s="17"/>
      <c r="F1112" s="17"/>
      <c r="G1112" s="18"/>
      <c r="H1112" s="17"/>
      <c r="I1112" s="36"/>
      <c r="J1112" s="21"/>
    </row>
    <row r="1113" spans="1:16" x14ac:dyDescent="0.2">
      <c r="A1113" s="16" t="s">
        <v>2369</v>
      </c>
      <c r="B1113" s="34"/>
      <c r="C1113" s="16"/>
      <c r="D1113" s="17" t="str">
        <f>IF(C1113="","",VLOOKUP(C1113,'Objekt Aufstellung'!$A$2:$B$51,2))</f>
        <v/>
      </c>
      <c r="E1113" s="17"/>
      <c r="F1113" s="17"/>
      <c r="G1113" s="18"/>
      <c r="H1113" s="17"/>
      <c r="I1113" s="23"/>
      <c r="J1113" s="21"/>
    </row>
    <row r="1114" spans="1:16" x14ac:dyDescent="0.2">
      <c r="A1114" s="16" t="s">
        <v>2370</v>
      </c>
      <c r="B1114" s="34"/>
      <c r="C1114" s="16"/>
      <c r="D1114" s="17" t="str">
        <f>IF(C1114="","",VLOOKUP(C1114,'Objekt Aufstellung'!$A$2:$B$51,2))</f>
        <v/>
      </c>
      <c r="E1114" s="17"/>
      <c r="F1114" s="17"/>
      <c r="G1114" s="18"/>
      <c r="H1114" s="17"/>
      <c r="I1114" s="23"/>
      <c r="J1114" s="17"/>
    </row>
    <row r="1115" spans="1:16" x14ac:dyDescent="0.2">
      <c r="A1115" s="16" t="s">
        <v>2371</v>
      </c>
      <c r="B1115" s="34"/>
      <c r="C1115" s="16"/>
      <c r="D1115" s="17" t="str">
        <f>IF(C1115="","",VLOOKUP(C1115,'Objekt Aufstellung'!$A$2:$B$51,2))</f>
        <v/>
      </c>
      <c r="E1115" s="17"/>
      <c r="F1115" s="17"/>
      <c r="G1115" s="18"/>
      <c r="H1115" s="17"/>
      <c r="I1115" s="23"/>
      <c r="J1115" s="124"/>
    </row>
    <row r="1116" spans="1:16" x14ac:dyDescent="0.2">
      <c r="A1116" s="16" t="s">
        <v>2372</v>
      </c>
      <c r="B1116" s="34"/>
      <c r="C1116" s="16"/>
      <c r="D1116" s="17" t="str">
        <f>IF(C1116="","",VLOOKUP(C1116,'Objekt Aufstellung'!$A$2:$B$51,2))</f>
        <v/>
      </c>
      <c r="E1116" s="17"/>
      <c r="F1116" s="17"/>
      <c r="G1116" s="18"/>
      <c r="H1116" s="17"/>
      <c r="I1116" s="23"/>
      <c r="J1116" s="17"/>
    </row>
    <row r="1117" spans="1:16" x14ac:dyDescent="0.2">
      <c r="A1117" s="16" t="s">
        <v>2373</v>
      </c>
      <c r="B1117" s="34"/>
      <c r="C1117" s="16"/>
      <c r="D1117" s="17" t="str">
        <f>IF(C1117="","",VLOOKUP(C1117,'Objekt Aufstellung'!$A$2:$B$51,2))</f>
        <v/>
      </c>
      <c r="E1117" s="17"/>
      <c r="F1117" s="17"/>
      <c r="G1117" s="18"/>
      <c r="H1117" s="17"/>
      <c r="I1117" s="23"/>
      <c r="J1117" s="17"/>
    </row>
    <row r="1118" spans="1:16" x14ac:dyDescent="0.2">
      <c r="A1118" s="16" t="s">
        <v>2374</v>
      </c>
      <c r="B1118" s="34"/>
      <c r="C1118" s="16"/>
      <c r="D1118" s="17" t="str">
        <f>IF(C1118="","",VLOOKUP(C1118,'Objekt Aufstellung'!$A$2:$B$51,2))</f>
        <v/>
      </c>
      <c r="E1118" s="17"/>
      <c r="F1118" s="17"/>
      <c r="G1118" s="18"/>
      <c r="H1118" s="17"/>
      <c r="I1118" s="23"/>
      <c r="J1118" s="17"/>
    </row>
    <row r="1119" spans="1:16" x14ac:dyDescent="0.2">
      <c r="A1119" s="16" t="s">
        <v>2375</v>
      </c>
      <c r="B1119" s="34"/>
      <c r="C1119" s="16"/>
      <c r="D1119" s="17" t="str">
        <f>IF(C1119="","",VLOOKUP(C1119,'Objekt Aufstellung'!$A$2:$B$51,2))</f>
        <v/>
      </c>
      <c r="E1119" s="17"/>
      <c r="F1119" s="17"/>
      <c r="G1119" s="18"/>
      <c r="H1119" s="17"/>
      <c r="I1119" s="23"/>
      <c r="J1119" s="17"/>
    </row>
    <row r="1120" spans="1:16" x14ac:dyDescent="0.2">
      <c r="A1120" s="16" t="s">
        <v>2376</v>
      </c>
      <c r="B1120" s="34"/>
      <c r="C1120" s="16"/>
      <c r="D1120" s="17" t="str">
        <f>IF(C1120="","",VLOOKUP(C1120,'Objekt Aufstellung'!$A$2:$B$51,2))</f>
        <v/>
      </c>
      <c r="E1120" s="17"/>
      <c r="F1120" s="17"/>
      <c r="G1120" s="18"/>
      <c r="H1120" s="17"/>
      <c r="I1120" s="23"/>
      <c r="J1120" s="17"/>
    </row>
    <row r="1121" spans="1:10" x14ac:dyDescent="0.2">
      <c r="A1121" s="16" t="s">
        <v>2377</v>
      </c>
      <c r="B1121" s="34"/>
      <c r="C1121" s="16"/>
      <c r="D1121" s="17" t="str">
        <f>IF(C1121="","",VLOOKUP(C1121,'Objekt Aufstellung'!$A$2:$B$51,2))</f>
        <v/>
      </c>
      <c r="E1121" s="17"/>
      <c r="F1121" s="17"/>
      <c r="G1121" s="18"/>
      <c r="H1121" s="17"/>
      <c r="I1121" s="23"/>
      <c r="J1121" s="17"/>
    </row>
    <row r="1122" spans="1:10" x14ac:dyDescent="0.2">
      <c r="A1122" s="16" t="s">
        <v>2378</v>
      </c>
      <c r="B1122" s="34"/>
      <c r="C1122" s="16"/>
      <c r="D1122" s="17" t="str">
        <f>IF(C1122="","",VLOOKUP(C1122,'Objekt Aufstellung'!$A$2:$B$51,2))</f>
        <v/>
      </c>
      <c r="E1122" s="17"/>
      <c r="F1122" s="17"/>
      <c r="G1122" s="18"/>
      <c r="H1122" s="17"/>
      <c r="I1122" s="23"/>
      <c r="J1122" s="17"/>
    </row>
    <row r="1123" spans="1:10" x14ac:dyDescent="0.2">
      <c r="A1123" s="16" t="s">
        <v>2379</v>
      </c>
      <c r="B1123" s="34"/>
      <c r="C1123" s="16"/>
      <c r="D1123" s="17" t="str">
        <f>IF(C1123="","",VLOOKUP(C1123,'Objekt Aufstellung'!$A$2:$B$51,2))</f>
        <v/>
      </c>
      <c r="E1123" s="17"/>
      <c r="F1123" s="17"/>
      <c r="G1123" s="18"/>
      <c r="H1123" s="17"/>
      <c r="I1123" s="23"/>
      <c r="J1123" s="17"/>
    </row>
    <row r="1124" spans="1:10" x14ac:dyDescent="0.2">
      <c r="A1124" s="16" t="s">
        <v>2380</v>
      </c>
      <c r="B1124" s="34"/>
      <c r="C1124" s="16"/>
      <c r="D1124" s="17" t="str">
        <f>IF(C1124="","",VLOOKUP(C1124,'Objekt Aufstellung'!$A$2:$B$51,2))</f>
        <v/>
      </c>
      <c r="E1124" s="17"/>
      <c r="F1124" s="17"/>
      <c r="G1124" s="18"/>
      <c r="H1124" s="17"/>
      <c r="I1124" s="23"/>
      <c r="J1124" s="17"/>
    </row>
    <row r="1125" spans="1:10" x14ac:dyDescent="0.2">
      <c r="A1125" s="16" t="s">
        <v>2381</v>
      </c>
      <c r="B1125" s="34"/>
      <c r="C1125" s="16"/>
      <c r="D1125" s="17" t="str">
        <f>IF(C1125="","",VLOOKUP(C1125,'Objekt Aufstellung'!$A$2:$B$51,2))</f>
        <v/>
      </c>
      <c r="E1125" s="17"/>
      <c r="F1125" s="17"/>
      <c r="G1125" s="18"/>
      <c r="H1125" s="17"/>
      <c r="I1125" s="23"/>
      <c r="J1125" s="17"/>
    </row>
    <row r="1126" spans="1:10" x14ac:dyDescent="0.2">
      <c r="A1126" s="16" t="s">
        <v>2382</v>
      </c>
      <c r="B1126" s="34"/>
      <c r="C1126" s="16"/>
      <c r="D1126" s="17" t="str">
        <f>IF(C1126="","",VLOOKUP(C1126,'Objekt Aufstellung'!$A$2:$B$51,2))</f>
        <v/>
      </c>
      <c r="E1126" s="17"/>
      <c r="F1126" s="17"/>
      <c r="G1126" s="18"/>
      <c r="H1126" s="17"/>
      <c r="I1126" s="23"/>
      <c r="J1126" s="17"/>
    </row>
    <row r="1127" spans="1:10" x14ac:dyDescent="0.2">
      <c r="A1127" s="16" t="s">
        <v>2383</v>
      </c>
      <c r="B1127" s="34"/>
      <c r="C1127" s="16"/>
      <c r="D1127" s="17" t="str">
        <f>IF(C1127="","",VLOOKUP(C1127,'Objekt Aufstellung'!$A$2:$B$51,2))</f>
        <v/>
      </c>
      <c r="E1127" s="17"/>
      <c r="F1127" s="17"/>
      <c r="G1127" s="18"/>
      <c r="H1127" s="17"/>
      <c r="I1127" s="23"/>
      <c r="J1127" s="17"/>
    </row>
    <row r="1128" spans="1:10" x14ac:dyDescent="0.2">
      <c r="A1128" s="16" t="s">
        <v>2384</v>
      </c>
      <c r="B1128" s="34"/>
      <c r="C1128" s="16"/>
      <c r="D1128" s="17" t="str">
        <f>IF(C1128="","",VLOOKUP(C1128,'Objekt Aufstellung'!$A$2:$B$51,2))</f>
        <v/>
      </c>
      <c r="E1128" s="17"/>
      <c r="F1128" s="17"/>
      <c r="G1128" s="18"/>
      <c r="H1128" s="17"/>
      <c r="I1128" s="23"/>
      <c r="J1128" s="17"/>
    </row>
    <row r="1129" spans="1:10" x14ac:dyDescent="0.2">
      <c r="A1129" s="16" t="s">
        <v>2385</v>
      </c>
      <c r="B1129" s="34"/>
      <c r="C1129" s="16"/>
      <c r="D1129" s="17" t="str">
        <f>IF(C1129="","",VLOOKUP(C1129,'Objekt Aufstellung'!$A$2:$B$51,2))</f>
        <v/>
      </c>
      <c r="E1129" s="17"/>
      <c r="F1129" s="17"/>
      <c r="G1129" s="18"/>
      <c r="H1129" s="17"/>
      <c r="I1129" s="23"/>
      <c r="J1129" s="17"/>
    </row>
    <row r="1130" spans="1:10" x14ac:dyDescent="0.2">
      <c r="A1130" s="16" t="s">
        <v>2386</v>
      </c>
      <c r="B1130" s="34"/>
      <c r="C1130" s="16"/>
      <c r="D1130" s="17" t="str">
        <f>IF(C1130="","",VLOOKUP(C1130,'Objekt Aufstellung'!$A$2:$B$51,2))</f>
        <v/>
      </c>
      <c r="E1130" s="17"/>
      <c r="F1130" s="17"/>
      <c r="G1130" s="18"/>
      <c r="H1130" s="17"/>
      <c r="I1130" s="23"/>
      <c r="J1130" s="17"/>
    </row>
    <row r="1131" spans="1:10" x14ac:dyDescent="0.2">
      <c r="A1131" s="16" t="s">
        <v>2387</v>
      </c>
      <c r="B1131" s="34"/>
      <c r="C1131" s="16"/>
      <c r="D1131" s="17" t="str">
        <f>IF(C1131="","",VLOOKUP(C1131,'Objekt Aufstellung'!$A$2:$B$51,2))</f>
        <v/>
      </c>
      <c r="E1131" s="17"/>
      <c r="F1131" s="17"/>
      <c r="G1131" s="18"/>
      <c r="H1131" s="17"/>
      <c r="I1131" s="23"/>
      <c r="J1131" s="17"/>
    </row>
    <row r="1132" spans="1:10" x14ac:dyDescent="0.2">
      <c r="A1132" s="16" t="s">
        <v>2388</v>
      </c>
      <c r="B1132" s="34"/>
      <c r="C1132" s="16"/>
      <c r="D1132" s="17" t="str">
        <f>IF(C1132="","",VLOOKUP(C1132,'Objekt Aufstellung'!$A$2:$B$51,2))</f>
        <v/>
      </c>
      <c r="E1132" s="17"/>
      <c r="F1132" s="17"/>
      <c r="G1132" s="18"/>
      <c r="H1132" s="17"/>
      <c r="I1132" s="23"/>
      <c r="J1132" s="17"/>
    </row>
    <row r="1133" spans="1:10" x14ac:dyDescent="0.2">
      <c r="A1133" s="16" t="s">
        <v>2389</v>
      </c>
      <c r="B1133" s="34"/>
      <c r="C1133" s="16"/>
      <c r="D1133" s="17" t="str">
        <f>IF(C1133="","",VLOOKUP(C1133,'Objekt Aufstellung'!$A$2:$B$51,2))</f>
        <v/>
      </c>
      <c r="E1133" s="17"/>
      <c r="F1133" s="17"/>
      <c r="G1133" s="18"/>
      <c r="H1133" s="17"/>
      <c r="I1133" s="23"/>
      <c r="J1133" s="17"/>
    </row>
    <row r="1134" spans="1:10" x14ac:dyDescent="0.2">
      <c r="A1134" s="16" t="s">
        <v>2390</v>
      </c>
      <c r="B1134" s="34"/>
      <c r="C1134" s="16"/>
      <c r="D1134" s="17" t="str">
        <f>IF(C1134="","",VLOOKUP(C1134,'Objekt Aufstellung'!$A$2:$B$51,2))</f>
        <v/>
      </c>
      <c r="E1134" s="17"/>
      <c r="F1134" s="17"/>
      <c r="G1134" s="18"/>
      <c r="H1134" s="17"/>
      <c r="I1134" s="23"/>
      <c r="J1134" s="17"/>
    </row>
    <row r="1135" spans="1:10" x14ac:dyDescent="0.2">
      <c r="A1135" s="16" t="s">
        <v>2391</v>
      </c>
      <c r="B1135" s="34"/>
      <c r="C1135" s="16"/>
      <c r="D1135" s="17" t="str">
        <f>IF(C1135="","",VLOOKUP(C1135,'Objekt Aufstellung'!$A$2:$B$51,2))</f>
        <v/>
      </c>
      <c r="E1135" s="17"/>
      <c r="F1135" s="17"/>
      <c r="G1135" s="18"/>
      <c r="H1135" s="17"/>
      <c r="I1135" s="23"/>
      <c r="J1135" s="17"/>
    </row>
    <row r="1136" spans="1:10" x14ac:dyDescent="0.2">
      <c r="A1136" s="16" t="s">
        <v>2392</v>
      </c>
      <c r="B1136" s="34"/>
      <c r="C1136" s="16"/>
      <c r="D1136" s="17" t="str">
        <f>IF(C1136="","",VLOOKUP(C1136,'Objekt Aufstellung'!$A$2:$B$51,2))</f>
        <v/>
      </c>
      <c r="E1136" s="17"/>
      <c r="F1136" s="17"/>
      <c r="G1136" s="18"/>
      <c r="H1136" s="17"/>
      <c r="I1136" s="23"/>
      <c r="J1136" s="17"/>
    </row>
    <row r="1137" spans="1:10" x14ac:dyDescent="0.2">
      <c r="A1137" s="16" t="s">
        <v>2393</v>
      </c>
      <c r="B1137" s="34"/>
      <c r="C1137" s="16"/>
      <c r="D1137" s="17" t="str">
        <f>IF(C1137="","",VLOOKUP(C1137,'Objekt Aufstellung'!$A$2:$B$51,2))</f>
        <v/>
      </c>
      <c r="E1137" s="17"/>
      <c r="F1137" s="17"/>
      <c r="G1137" s="18"/>
      <c r="H1137" s="17"/>
      <c r="I1137" s="23"/>
      <c r="J1137" s="17"/>
    </row>
    <row r="1138" spans="1:10" x14ac:dyDescent="0.2">
      <c r="A1138" s="16" t="s">
        <v>2394</v>
      </c>
      <c r="B1138" s="34"/>
      <c r="C1138" s="16"/>
      <c r="D1138" s="17" t="str">
        <f>IF(C1138="","",VLOOKUP(C1138,'Objekt Aufstellung'!$A$2:$B$51,2))</f>
        <v/>
      </c>
      <c r="E1138" s="17"/>
      <c r="F1138" s="17"/>
      <c r="G1138" s="18"/>
      <c r="H1138" s="17"/>
      <c r="I1138" s="23"/>
      <c r="J1138" s="17"/>
    </row>
    <row r="1139" spans="1:10" x14ac:dyDescent="0.2">
      <c r="A1139" s="16" t="s">
        <v>2395</v>
      </c>
      <c r="B1139" s="34"/>
      <c r="C1139" s="16"/>
      <c r="D1139" s="17" t="str">
        <f>IF(C1139="","",VLOOKUP(C1139,'Objekt Aufstellung'!$A$2:$B$51,2))</f>
        <v/>
      </c>
      <c r="E1139" s="17"/>
      <c r="F1139" s="17"/>
      <c r="G1139" s="18"/>
      <c r="H1139" s="17"/>
      <c r="I1139" s="23"/>
      <c r="J1139" s="17"/>
    </row>
    <row r="1140" spans="1:10" x14ac:dyDescent="0.2">
      <c r="A1140" s="16" t="s">
        <v>2396</v>
      </c>
      <c r="B1140" s="34"/>
      <c r="C1140" s="16"/>
      <c r="D1140" s="17" t="str">
        <f>IF(C1140="","",VLOOKUP(C1140,'Objekt Aufstellung'!$A$2:$B$51,2))</f>
        <v/>
      </c>
      <c r="E1140" s="17"/>
      <c r="F1140" s="17"/>
      <c r="G1140" s="18"/>
      <c r="H1140" s="17"/>
      <c r="I1140" s="23"/>
      <c r="J1140" s="17"/>
    </row>
    <row r="1141" spans="1:10" x14ac:dyDescent="0.2">
      <c r="A1141" s="16" t="s">
        <v>2397</v>
      </c>
      <c r="B1141" s="34"/>
      <c r="C1141" s="16"/>
      <c r="D1141" s="17" t="str">
        <f>IF(C1141="","",VLOOKUP(C1141,'Objekt Aufstellung'!$A$2:$B$51,2))</f>
        <v/>
      </c>
      <c r="E1141" s="17"/>
      <c r="F1141" s="17"/>
      <c r="G1141" s="18"/>
      <c r="H1141" s="17"/>
      <c r="I1141" s="23"/>
      <c r="J1141" s="17"/>
    </row>
    <row r="1142" spans="1:10" x14ac:dyDescent="0.2">
      <c r="A1142" s="16" t="s">
        <v>2398</v>
      </c>
      <c r="B1142" s="34"/>
      <c r="C1142" s="16"/>
      <c r="D1142" s="17" t="str">
        <f>IF(C1142="","",VLOOKUP(C1142,'Objekt Aufstellung'!$A$2:$B$51,2))</f>
        <v/>
      </c>
      <c r="E1142" s="17"/>
      <c r="F1142" s="17"/>
      <c r="G1142" s="18"/>
      <c r="H1142" s="17"/>
      <c r="I1142" s="23"/>
      <c r="J1142" s="17"/>
    </row>
    <row r="1143" spans="1:10" x14ac:dyDescent="0.2">
      <c r="A1143" s="16" t="s">
        <v>2399</v>
      </c>
      <c r="B1143" s="34"/>
      <c r="C1143" s="16"/>
      <c r="D1143" s="17" t="str">
        <f>IF(C1143="","",VLOOKUP(C1143,'Objekt Aufstellung'!$A$2:$B$51,2))</f>
        <v/>
      </c>
      <c r="E1143" s="17"/>
      <c r="F1143" s="17"/>
      <c r="G1143" s="18"/>
      <c r="H1143" s="17"/>
      <c r="I1143" s="23"/>
      <c r="J1143" s="17"/>
    </row>
    <row r="1144" spans="1:10" x14ac:dyDescent="0.2">
      <c r="A1144" s="16" t="s">
        <v>2400</v>
      </c>
      <c r="B1144" s="34"/>
      <c r="C1144" s="16"/>
      <c r="D1144" s="17" t="str">
        <f>IF(C1144="","",VLOOKUP(C1144,'Objekt Aufstellung'!$A$2:$B$51,2))</f>
        <v/>
      </c>
      <c r="E1144" s="17"/>
      <c r="F1144" s="17"/>
      <c r="G1144" s="18"/>
      <c r="H1144" s="17"/>
      <c r="I1144" s="23"/>
      <c r="J1144" s="17"/>
    </row>
    <row r="1145" spans="1:10" x14ac:dyDescent="0.2">
      <c r="A1145" s="16" t="s">
        <v>2401</v>
      </c>
      <c r="B1145" s="34"/>
      <c r="C1145" s="16"/>
      <c r="D1145" s="17" t="str">
        <f>IF(C1145="","",VLOOKUP(C1145,'Objekt Aufstellung'!$A$2:$B$51,2))</f>
        <v/>
      </c>
      <c r="E1145" s="17"/>
      <c r="F1145" s="17"/>
      <c r="G1145" s="18"/>
      <c r="H1145" s="17"/>
      <c r="I1145" s="23"/>
      <c r="J1145" s="17"/>
    </row>
    <row r="1146" spans="1:10" x14ac:dyDescent="0.2">
      <c r="A1146" s="16" t="s">
        <v>2402</v>
      </c>
      <c r="B1146" s="34"/>
      <c r="C1146" s="16"/>
      <c r="D1146" s="17" t="str">
        <f>IF(C1146="","",VLOOKUP(C1146,'Objekt Aufstellung'!$A$2:$B$51,2))</f>
        <v/>
      </c>
      <c r="E1146" s="17"/>
      <c r="F1146" s="17"/>
      <c r="G1146" s="18"/>
      <c r="H1146" s="17"/>
      <c r="I1146" s="23"/>
      <c r="J1146" s="17"/>
    </row>
    <row r="1147" spans="1:10" x14ac:dyDescent="0.2">
      <c r="A1147" s="16" t="s">
        <v>2403</v>
      </c>
      <c r="B1147" s="34"/>
      <c r="C1147" s="16"/>
      <c r="D1147" s="17" t="str">
        <f>IF(C1147="","",VLOOKUP(C1147,'Objekt Aufstellung'!$A$2:$B$51,2))</f>
        <v/>
      </c>
      <c r="E1147" s="17"/>
      <c r="F1147" s="17"/>
      <c r="G1147" s="18"/>
      <c r="H1147" s="17"/>
      <c r="I1147" s="23"/>
      <c r="J1147" s="17"/>
    </row>
    <row r="1148" spans="1:10" x14ac:dyDescent="0.2">
      <c r="A1148" s="16" t="s">
        <v>2404</v>
      </c>
      <c r="B1148" s="34"/>
      <c r="C1148" s="16"/>
      <c r="D1148" s="17" t="str">
        <f>IF(C1148="","",VLOOKUP(C1148,'Objekt Aufstellung'!$A$2:$B$51,2))</f>
        <v/>
      </c>
      <c r="E1148" s="17"/>
      <c r="F1148" s="17"/>
      <c r="G1148" s="18"/>
      <c r="H1148" s="17"/>
      <c r="I1148" s="23"/>
      <c r="J1148" s="17"/>
    </row>
    <row r="1149" spans="1:10" x14ac:dyDescent="0.2">
      <c r="A1149" s="16" t="s">
        <v>2405</v>
      </c>
      <c r="B1149" s="34"/>
      <c r="C1149" s="16"/>
      <c r="D1149" s="17" t="str">
        <f>IF(C1149="","",VLOOKUP(C1149,'Objekt Aufstellung'!$A$2:$B$51,2))</f>
        <v/>
      </c>
      <c r="E1149" s="17"/>
      <c r="F1149" s="17"/>
      <c r="G1149" s="18"/>
      <c r="H1149" s="17"/>
      <c r="I1149" s="23"/>
      <c r="J1149" s="17"/>
    </row>
    <row r="1150" spans="1:10" x14ac:dyDescent="0.2">
      <c r="A1150" s="16" t="s">
        <v>2406</v>
      </c>
      <c r="B1150" s="34"/>
      <c r="C1150" s="16"/>
      <c r="D1150" s="17" t="str">
        <f>IF(C1150="","",VLOOKUP(C1150,'Objekt Aufstellung'!$A$2:$B$51,2))</f>
        <v/>
      </c>
      <c r="E1150" s="17"/>
      <c r="F1150" s="17"/>
      <c r="G1150" s="18"/>
      <c r="H1150" s="17"/>
      <c r="I1150" s="23"/>
      <c r="J1150" s="17"/>
    </row>
    <row r="1151" spans="1:10" x14ac:dyDescent="0.2">
      <c r="A1151" s="16" t="s">
        <v>2407</v>
      </c>
      <c r="B1151" s="34"/>
      <c r="C1151" s="16"/>
      <c r="D1151" s="17" t="str">
        <f>IF(C1151="","",VLOOKUP(C1151,'Objekt Aufstellung'!$A$2:$B$51,2))</f>
        <v/>
      </c>
      <c r="E1151" s="17"/>
      <c r="F1151" s="17"/>
      <c r="G1151" s="18"/>
      <c r="H1151" s="17"/>
      <c r="I1151" s="23"/>
      <c r="J1151" s="17"/>
    </row>
    <row r="1152" spans="1:10" x14ac:dyDescent="0.2">
      <c r="A1152" s="16" t="s">
        <v>2408</v>
      </c>
      <c r="B1152" s="34"/>
      <c r="C1152" s="16"/>
      <c r="D1152" s="17" t="str">
        <f>IF(C1152="","",VLOOKUP(C1152,'Objekt Aufstellung'!$A$2:$B$51,2))</f>
        <v/>
      </c>
      <c r="E1152" s="17"/>
      <c r="F1152" s="17"/>
      <c r="G1152" s="18"/>
      <c r="H1152" s="17"/>
      <c r="I1152" s="23"/>
      <c r="J1152" s="17"/>
    </row>
    <row r="1153" spans="1:10" x14ac:dyDescent="0.2">
      <c r="A1153" s="16" t="s">
        <v>2409</v>
      </c>
      <c r="B1153" s="34"/>
      <c r="C1153" s="16"/>
      <c r="D1153" s="17" t="str">
        <f>IF(C1153="","",VLOOKUP(C1153,'Objekt Aufstellung'!$A$2:$B$51,2))</f>
        <v/>
      </c>
      <c r="E1153" s="17"/>
      <c r="F1153" s="17"/>
      <c r="G1153" s="18"/>
      <c r="H1153" s="17"/>
      <c r="I1153" s="23"/>
      <c r="J1153" s="17"/>
    </row>
    <row r="1154" spans="1:10" x14ac:dyDescent="0.2">
      <c r="A1154" s="16" t="s">
        <v>2410</v>
      </c>
      <c r="B1154" s="34"/>
      <c r="C1154" s="16"/>
      <c r="D1154" s="17" t="str">
        <f>IF(C1154="","",VLOOKUP(C1154,'Objekt Aufstellung'!$A$2:$B$51,2))</f>
        <v/>
      </c>
      <c r="E1154" s="17"/>
      <c r="F1154" s="17"/>
      <c r="G1154" s="18"/>
      <c r="H1154" s="17"/>
      <c r="I1154" s="23"/>
      <c r="J1154" s="17"/>
    </row>
    <row r="1155" spans="1:10" x14ac:dyDescent="0.2">
      <c r="A1155" s="16" t="s">
        <v>2411</v>
      </c>
      <c r="B1155" s="34"/>
      <c r="C1155" s="16"/>
      <c r="D1155" s="17" t="str">
        <f>IF(C1155="","",VLOOKUP(C1155,'Objekt Aufstellung'!$A$2:$B$51,2))</f>
        <v/>
      </c>
      <c r="E1155" s="17"/>
      <c r="F1155" s="17"/>
      <c r="G1155" s="18"/>
      <c r="H1155" s="17"/>
      <c r="I1155" s="23"/>
      <c r="J1155" s="17"/>
    </row>
    <row r="1156" spans="1:10" x14ac:dyDescent="0.2">
      <c r="A1156" s="16" t="s">
        <v>2412</v>
      </c>
      <c r="B1156" s="34"/>
      <c r="C1156" s="16"/>
      <c r="D1156" s="17" t="str">
        <f>IF(C1156="","",VLOOKUP(C1156,'Objekt Aufstellung'!$A$2:$B$51,2))</f>
        <v/>
      </c>
      <c r="E1156" s="17"/>
      <c r="F1156" s="17"/>
      <c r="G1156" s="18"/>
      <c r="H1156" s="17"/>
      <c r="I1156" s="23"/>
      <c r="J1156" s="17"/>
    </row>
    <row r="1157" spans="1:10" x14ac:dyDescent="0.2">
      <c r="A1157" s="16" t="s">
        <v>2413</v>
      </c>
      <c r="B1157" s="34"/>
      <c r="C1157" s="16"/>
      <c r="D1157" s="17" t="str">
        <f>IF(C1157="","",VLOOKUP(C1157,'Objekt Aufstellung'!$A$2:$B$51,2))</f>
        <v/>
      </c>
      <c r="E1157" s="17"/>
      <c r="F1157" s="17"/>
      <c r="G1157" s="18"/>
      <c r="H1157" s="17"/>
      <c r="I1157" s="23"/>
      <c r="J1157" s="17"/>
    </row>
    <row r="1158" spans="1:10" x14ac:dyDescent="0.2">
      <c r="A1158" s="16" t="s">
        <v>2414</v>
      </c>
      <c r="B1158" s="34"/>
      <c r="C1158" s="16"/>
      <c r="D1158" s="17" t="str">
        <f>IF(C1158="","",VLOOKUP(C1158,'Objekt Aufstellung'!$A$2:$B$51,2))</f>
        <v/>
      </c>
      <c r="E1158" s="17"/>
      <c r="F1158" s="17"/>
      <c r="G1158" s="18"/>
      <c r="H1158" s="17"/>
      <c r="I1158" s="23"/>
      <c r="J1158" s="17"/>
    </row>
    <row r="1159" spans="1:10" x14ac:dyDescent="0.2">
      <c r="A1159" s="16" t="s">
        <v>2415</v>
      </c>
      <c r="B1159" s="34"/>
      <c r="C1159" s="16"/>
      <c r="D1159" s="17" t="str">
        <f>IF(C1159="","",VLOOKUP(C1159,'Objekt Aufstellung'!$A$2:$B$51,2))</f>
        <v/>
      </c>
      <c r="E1159" s="17"/>
      <c r="F1159" s="17"/>
      <c r="G1159" s="18"/>
      <c r="H1159" s="17"/>
      <c r="I1159" s="23"/>
      <c r="J1159" s="17"/>
    </row>
    <row r="1160" spans="1:10" x14ac:dyDescent="0.2">
      <c r="A1160" s="16" t="s">
        <v>2416</v>
      </c>
      <c r="B1160" s="34"/>
      <c r="C1160" s="16"/>
      <c r="D1160" s="17" t="str">
        <f>IF(C1160="","",VLOOKUP(C1160,'Objekt Aufstellung'!$A$2:$B$51,2))</f>
        <v/>
      </c>
      <c r="E1160" s="17"/>
      <c r="F1160" s="17"/>
      <c r="G1160" s="18"/>
      <c r="H1160" s="17"/>
      <c r="I1160" s="23"/>
      <c r="J1160" s="17"/>
    </row>
    <row r="1161" spans="1:10" x14ac:dyDescent="0.2">
      <c r="A1161" s="16" t="s">
        <v>2417</v>
      </c>
      <c r="B1161" s="34"/>
      <c r="C1161" s="16"/>
      <c r="D1161" s="17" t="str">
        <f>IF(C1161="","",VLOOKUP(C1161,'Objekt Aufstellung'!$A$2:$B$51,2))</f>
        <v/>
      </c>
      <c r="E1161" s="17"/>
      <c r="F1161" s="17"/>
      <c r="G1161" s="18"/>
      <c r="H1161" s="17"/>
      <c r="I1161" s="23"/>
      <c r="J1161" s="17"/>
    </row>
    <row r="1162" spans="1:10" x14ac:dyDescent="0.2">
      <c r="A1162" s="16" t="s">
        <v>2418</v>
      </c>
      <c r="B1162" s="34"/>
      <c r="C1162" s="16"/>
      <c r="D1162" s="17" t="str">
        <f>IF(C1162="","",VLOOKUP(C1162,'Objekt Aufstellung'!$A$2:$B$51,2))</f>
        <v/>
      </c>
      <c r="E1162" s="17"/>
      <c r="F1162" s="17"/>
      <c r="G1162" s="18"/>
      <c r="H1162" s="17"/>
      <c r="I1162" s="23"/>
      <c r="J1162" s="17"/>
    </row>
    <row r="1163" spans="1:10" x14ac:dyDescent="0.2">
      <c r="A1163" s="16" t="s">
        <v>2419</v>
      </c>
      <c r="B1163" s="34"/>
      <c r="C1163" s="16"/>
      <c r="D1163" s="17" t="str">
        <f>IF(C1163="","",VLOOKUP(C1163,'Objekt Aufstellung'!$A$2:$B$51,2))</f>
        <v/>
      </c>
      <c r="E1163" s="17"/>
      <c r="F1163" s="17"/>
      <c r="G1163" s="18"/>
      <c r="H1163" s="17"/>
      <c r="I1163" s="23"/>
      <c r="J1163" s="17"/>
    </row>
    <row r="1164" spans="1:10" x14ac:dyDescent="0.2">
      <c r="A1164" s="16" t="s">
        <v>2420</v>
      </c>
      <c r="B1164" s="34"/>
      <c r="C1164" s="16"/>
      <c r="D1164" s="17" t="str">
        <f>IF(C1164="","",VLOOKUP(C1164,'Objekt Aufstellung'!$A$2:$B$51,2))</f>
        <v/>
      </c>
      <c r="E1164" s="17"/>
      <c r="F1164" s="17"/>
      <c r="G1164" s="18"/>
      <c r="H1164" s="17"/>
      <c r="I1164" s="23"/>
      <c r="J1164" s="17"/>
    </row>
    <row r="1165" spans="1:10" x14ac:dyDescent="0.2">
      <c r="A1165" s="16" t="s">
        <v>2421</v>
      </c>
      <c r="B1165" s="34"/>
      <c r="C1165" s="16"/>
      <c r="D1165" s="17" t="str">
        <f>IF(C1165="","",VLOOKUP(C1165,'Objekt Aufstellung'!$A$2:$B$51,2))</f>
        <v/>
      </c>
      <c r="E1165" s="17"/>
      <c r="F1165" s="17"/>
      <c r="G1165" s="18"/>
      <c r="H1165" s="17"/>
      <c r="I1165" s="23"/>
      <c r="J1165" s="17"/>
    </row>
    <row r="1166" spans="1:10" x14ac:dyDescent="0.2">
      <c r="A1166" s="16" t="s">
        <v>2422</v>
      </c>
      <c r="B1166" s="34"/>
      <c r="C1166" s="16"/>
      <c r="D1166" s="17" t="str">
        <f>IF(C1166="","",VLOOKUP(C1166,'Objekt Aufstellung'!$A$2:$B$51,2))</f>
        <v/>
      </c>
      <c r="E1166" s="17"/>
      <c r="F1166" s="17"/>
      <c r="G1166" s="18"/>
      <c r="H1166" s="17"/>
      <c r="I1166" s="23"/>
      <c r="J1166" s="17"/>
    </row>
    <row r="1167" spans="1:10" x14ac:dyDescent="0.2">
      <c r="A1167" s="16"/>
      <c r="B1167" s="34"/>
      <c r="C1167" s="16"/>
      <c r="D1167" s="17"/>
      <c r="E1167" s="17"/>
      <c r="F1167" s="17"/>
      <c r="G1167" s="18"/>
      <c r="H1167" s="17"/>
      <c r="I1167" s="23"/>
      <c r="J1167" s="17"/>
    </row>
    <row r="1168" spans="1:10" x14ac:dyDescent="0.2">
      <c r="A1168" s="16"/>
      <c r="B1168" s="34"/>
      <c r="C1168" s="16"/>
      <c r="D1168" s="17"/>
      <c r="E1168" s="17"/>
      <c r="F1168" s="17"/>
      <c r="G1168" s="18"/>
      <c r="H1168" s="17"/>
      <c r="I1168" s="23"/>
      <c r="J1168" s="17"/>
    </row>
    <row r="1169" spans="1:10" x14ac:dyDescent="0.2">
      <c r="A1169" s="16"/>
      <c r="B1169" s="34"/>
      <c r="C1169" s="16"/>
      <c r="D1169" s="17"/>
      <c r="E1169" s="17"/>
      <c r="F1169" s="17"/>
      <c r="G1169" s="18"/>
      <c r="H1169" s="17"/>
      <c r="I1169" s="23"/>
      <c r="J1169" s="17"/>
    </row>
    <row r="1170" spans="1:10" x14ac:dyDescent="0.2">
      <c r="A1170" s="16"/>
      <c r="B1170" s="34"/>
      <c r="C1170" s="16"/>
      <c r="D1170" s="17"/>
      <c r="E1170" s="17"/>
      <c r="F1170" s="17"/>
      <c r="G1170" s="18"/>
      <c r="H1170" s="17"/>
      <c r="I1170" s="23"/>
      <c r="J1170" s="17"/>
    </row>
    <row r="1171" spans="1:10" x14ac:dyDescent="0.2">
      <c r="A1171" s="16"/>
      <c r="B1171" s="34"/>
      <c r="C1171" s="16"/>
      <c r="D1171" s="17"/>
      <c r="E1171" s="17"/>
      <c r="F1171" s="17"/>
      <c r="G1171" s="18"/>
      <c r="H1171" s="17"/>
      <c r="I1171" s="23"/>
      <c r="J1171" s="17"/>
    </row>
    <row r="1172" spans="1:10" x14ac:dyDescent="0.2">
      <c r="A1172" s="16"/>
      <c r="B1172" s="34"/>
      <c r="C1172" s="16"/>
      <c r="D1172" s="17"/>
      <c r="E1172" s="17"/>
      <c r="F1172" s="17"/>
      <c r="G1172" s="18"/>
      <c r="H1172" s="17"/>
      <c r="I1172" s="23"/>
      <c r="J1172" s="17"/>
    </row>
    <row r="1173" spans="1:10" x14ac:dyDescent="0.2">
      <c r="A1173" s="16"/>
      <c r="B1173" s="34"/>
      <c r="C1173" s="16"/>
      <c r="D1173" s="17"/>
      <c r="E1173" s="17"/>
      <c r="F1173" s="17"/>
      <c r="G1173" s="18"/>
      <c r="H1173" s="17"/>
      <c r="I1173" s="23"/>
      <c r="J1173" s="17"/>
    </row>
    <row r="1174" spans="1:10" x14ac:dyDescent="0.2">
      <c r="A1174" s="16"/>
      <c r="B1174" s="34"/>
      <c r="C1174" s="16"/>
      <c r="D1174" s="17"/>
      <c r="E1174" s="17"/>
      <c r="F1174" s="17"/>
      <c r="G1174" s="18"/>
      <c r="H1174" s="17"/>
      <c r="I1174" s="23"/>
      <c r="J1174" s="17"/>
    </row>
    <row r="1175" spans="1:10" x14ac:dyDescent="0.2">
      <c r="A1175" s="16"/>
      <c r="B1175" s="34"/>
      <c r="C1175" s="16"/>
      <c r="D1175" s="17"/>
      <c r="E1175" s="17"/>
      <c r="F1175" s="17"/>
      <c r="G1175" s="18"/>
      <c r="H1175" s="17"/>
      <c r="I1175" s="23"/>
      <c r="J1175" s="17"/>
    </row>
    <row r="1176" spans="1:10" x14ac:dyDescent="0.2">
      <c r="A1176" s="16"/>
      <c r="B1176" s="34"/>
      <c r="C1176" s="16"/>
      <c r="D1176" s="17"/>
      <c r="E1176" s="17"/>
      <c r="F1176" s="17"/>
      <c r="G1176" s="18"/>
      <c r="H1176" s="17"/>
      <c r="I1176" s="23"/>
      <c r="J1176" s="17"/>
    </row>
    <row r="1177" spans="1:10" x14ac:dyDescent="0.2">
      <c r="A1177" s="16"/>
      <c r="B1177" s="34"/>
      <c r="C1177" s="16"/>
      <c r="D1177" s="17"/>
      <c r="E1177" s="17"/>
      <c r="F1177" s="17"/>
      <c r="G1177" s="18"/>
      <c r="H1177" s="17"/>
      <c r="I1177" s="23"/>
      <c r="J1177" s="17"/>
    </row>
    <row r="1178" spans="1:10" x14ac:dyDescent="0.2">
      <c r="A1178" s="16"/>
      <c r="B1178" s="34"/>
      <c r="C1178" s="16"/>
      <c r="D1178" s="17"/>
      <c r="E1178" s="17"/>
      <c r="F1178" s="17"/>
      <c r="G1178" s="18"/>
      <c r="H1178" s="17"/>
      <c r="I1178" s="23"/>
      <c r="J1178" s="17"/>
    </row>
    <row r="1179" spans="1:10" x14ac:dyDescent="0.2">
      <c r="A1179" s="16"/>
      <c r="B1179" s="34"/>
      <c r="C1179" s="16"/>
      <c r="D1179" s="17"/>
      <c r="E1179" s="17"/>
      <c r="F1179" s="17"/>
      <c r="G1179" s="18"/>
      <c r="H1179" s="17"/>
      <c r="I1179" s="23"/>
      <c r="J1179" s="17"/>
    </row>
    <row r="1180" spans="1:10" x14ac:dyDescent="0.2">
      <c r="A1180" s="16"/>
      <c r="B1180" s="34"/>
      <c r="C1180" s="16"/>
      <c r="D1180" s="17"/>
      <c r="E1180" s="17"/>
      <c r="F1180" s="17"/>
      <c r="G1180" s="18"/>
      <c r="H1180" s="17"/>
      <c r="I1180" s="23"/>
      <c r="J1180" s="17"/>
    </row>
    <row r="1181" spans="1:10" x14ac:dyDescent="0.2">
      <c r="A1181" s="16"/>
      <c r="B1181" s="34"/>
      <c r="C1181" s="16"/>
      <c r="D1181" s="17"/>
      <c r="E1181" s="17"/>
      <c r="F1181" s="17"/>
      <c r="G1181" s="18"/>
      <c r="H1181" s="17"/>
      <c r="I1181" s="23"/>
      <c r="J1181" s="17"/>
    </row>
    <row r="1182" spans="1:10" x14ac:dyDescent="0.2">
      <c r="A1182" s="16"/>
      <c r="B1182" s="34"/>
      <c r="C1182" s="16"/>
      <c r="D1182" s="17"/>
      <c r="E1182" s="17"/>
      <c r="F1182" s="17"/>
      <c r="G1182" s="18"/>
      <c r="H1182" s="17"/>
      <c r="I1182" s="23"/>
      <c r="J1182" s="17"/>
    </row>
    <row r="1183" spans="1:10" x14ac:dyDescent="0.2">
      <c r="A1183" s="16"/>
      <c r="B1183" s="34"/>
      <c r="C1183" s="16"/>
      <c r="D1183" s="17"/>
      <c r="E1183" s="17"/>
      <c r="F1183" s="17"/>
      <c r="G1183" s="18"/>
      <c r="H1183" s="17"/>
      <c r="I1183" s="23"/>
      <c r="J1183" s="17"/>
    </row>
    <row r="1184" spans="1:10" x14ac:dyDescent="0.2">
      <c r="A1184" s="16"/>
      <c r="B1184" s="34"/>
      <c r="C1184" s="16"/>
      <c r="D1184" s="17"/>
      <c r="E1184" s="17"/>
      <c r="F1184" s="17"/>
      <c r="G1184" s="18"/>
      <c r="H1184" s="17"/>
      <c r="I1184" s="23"/>
      <c r="J1184" s="17"/>
    </row>
    <row r="1185" spans="1:10" x14ac:dyDescent="0.2">
      <c r="A1185" s="16"/>
      <c r="B1185" s="34"/>
      <c r="C1185" s="16"/>
      <c r="D1185" s="17"/>
      <c r="E1185" s="17"/>
      <c r="F1185" s="17"/>
      <c r="G1185" s="18"/>
      <c r="H1185" s="17"/>
      <c r="I1185" s="23"/>
      <c r="J1185" s="17"/>
    </row>
    <row r="1186" spans="1:10" x14ac:dyDescent="0.2">
      <c r="A1186" s="16"/>
      <c r="B1186" s="34"/>
      <c r="C1186" s="16"/>
      <c r="D1186" s="17"/>
      <c r="E1186" s="17"/>
      <c r="F1186" s="17"/>
      <c r="G1186" s="18"/>
      <c r="H1186" s="17"/>
      <c r="I1186" s="23"/>
      <c r="J1186" s="17"/>
    </row>
    <row r="1187" spans="1:10" x14ac:dyDescent="0.2">
      <c r="A1187" s="16"/>
      <c r="B1187" s="34"/>
      <c r="C1187" s="16"/>
      <c r="D1187" s="17"/>
      <c r="E1187" s="17"/>
      <c r="F1187" s="17"/>
      <c r="G1187" s="18"/>
      <c r="H1187" s="17"/>
      <c r="I1187" s="23"/>
      <c r="J1187" s="17"/>
    </row>
    <row r="1188" spans="1:10" x14ac:dyDescent="0.2">
      <c r="A1188" s="16"/>
      <c r="B1188" s="34"/>
      <c r="C1188" s="16"/>
      <c r="D1188" s="17"/>
      <c r="E1188" s="17"/>
      <c r="F1188" s="17"/>
      <c r="G1188" s="18"/>
      <c r="H1188" s="17"/>
      <c r="I1188" s="23"/>
      <c r="J1188" s="17"/>
    </row>
    <row r="1189" spans="1:10" x14ac:dyDescent="0.2">
      <c r="A1189" s="16"/>
      <c r="B1189" s="34"/>
      <c r="C1189" s="16"/>
      <c r="D1189" s="17"/>
      <c r="E1189" s="17"/>
      <c r="F1189" s="17"/>
      <c r="G1189" s="18"/>
      <c r="H1189" s="17"/>
      <c r="I1189" s="23"/>
      <c r="J1189" s="17"/>
    </row>
    <row r="1190" spans="1:10" x14ac:dyDescent="0.2">
      <c r="A1190" s="16"/>
      <c r="B1190" s="34"/>
      <c r="C1190" s="16"/>
      <c r="D1190" s="17"/>
      <c r="E1190" s="17"/>
      <c r="F1190" s="17"/>
      <c r="G1190" s="18"/>
      <c r="H1190" s="17"/>
      <c r="I1190" s="23"/>
      <c r="J1190" s="17"/>
    </row>
    <row r="1191" spans="1:10" x14ac:dyDescent="0.2">
      <c r="A1191" s="16"/>
      <c r="B1191" s="34"/>
      <c r="C1191" s="16"/>
      <c r="D1191" s="17"/>
      <c r="E1191" s="17"/>
      <c r="F1191" s="17"/>
      <c r="G1191" s="18"/>
      <c r="H1191" s="17"/>
      <c r="I1191" s="23"/>
      <c r="J1191" s="17"/>
    </row>
    <row r="1192" spans="1:10" x14ac:dyDescent="0.2">
      <c r="A1192" s="16"/>
      <c r="B1192" s="34"/>
      <c r="C1192" s="16"/>
      <c r="D1192" s="17"/>
      <c r="E1192" s="17"/>
      <c r="F1192" s="17"/>
      <c r="G1192" s="18"/>
      <c r="H1192" s="17"/>
      <c r="I1192" s="23"/>
      <c r="J1192" s="17"/>
    </row>
    <row r="1193" spans="1:10" x14ac:dyDescent="0.2">
      <c r="A1193" s="16"/>
      <c r="B1193" s="34"/>
      <c r="C1193" s="16"/>
      <c r="D1193" s="17"/>
      <c r="E1193" s="17"/>
      <c r="F1193" s="17"/>
      <c r="G1193" s="18"/>
      <c r="H1193" s="17"/>
      <c r="I1193" s="23"/>
      <c r="J1193" s="17"/>
    </row>
    <row r="1194" spans="1:10" x14ac:dyDescent="0.2">
      <c r="A1194" s="16"/>
      <c r="B1194" s="34"/>
      <c r="C1194" s="16"/>
      <c r="D1194" s="17"/>
      <c r="E1194" s="17"/>
      <c r="F1194" s="17"/>
      <c r="G1194" s="18"/>
      <c r="H1194" s="17"/>
      <c r="I1194" s="23"/>
      <c r="J1194" s="17"/>
    </row>
    <row r="1195" spans="1:10" x14ac:dyDescent="0.2">
      <c r="A1195" s="16"/>
      <c r="B1195" s="34"/>
      <c r="C1195" s="16"/>
      <c r="D1195" s="17"/>
      <c r="E1195" s="17"/>
      <c r="F1195" s="17"/>
      <c r="G1195" s="18"/>
      <c r="H1195" s="17"/>
      <c r="I1195" s="23"/>
      <c r="J1195" s="17"/>
    </row>
    <row r="1196" spans="1:10" x14ac:dyDescent="0.2">
      <c r="A1196" s="16"/>
      <c r="B1196" s="34"/>
      <c r="C1196" s="16"/>
      <c r="D1196" s="17"/>
      <c r="E1196" s="17"/>
      <c r="F1196" s="17"/>
      <c r="G1196" s="18"/>
      <c r="H1196" s="17"/>
      <c r="I1196" s="23"/>
      <c r="J1196" s="17"/>
    </row>
    <row r="1197" spans="1:10" x14ac:dyDescent="0.2">
      <c r="A1197" s="16"/>
      <c r="B1197" s="34"/>
      <c r="C1197" s="16"/>
      <c r="D1197" s="17"/>
      <c r="E1197" s="17"/>
      <c r="F1197" s="17"/>
      <c r="G1197" s="18"/>
      <c r="H1197" s="17"/>
      <c r="I1197" s="23"/>
      <c r="J1197" s="17"/>
    </row>
    <row r="1198" spans="1:10" x14ac:dyDescent="0.2">
      <c r="A1198" s="16"/>
      <c r="B1198" s="34"/>
      <c r="C1198" s="16"/>
      <c r="D1198" s="17"/>
      <c r="E1198" s="17"/>
      <c r="F1198" s="17"/>
      <c r="G1198" s="18"/>
      <c r="H1198" s="17"/>
      <c r="I1198" s="23"/>
      <c r="J1198" s="17"/>
    </row>
    <row r="1199" spans="1:10" x14ac:dyDescent="0.2">
      <c r="A1199" s="16"/>
      <c r="B1199" s="34"/>
      <c r="C1199" s="16"/>
      <c r="D1199" s="17"/>
      <c r="E1199" s="17"/>
      <c r="F1199" s="17"/>
      <c r="G1199" s="18"/>
      <c r="H1199" s="17"/>
      <c r="I1199" s="23"/>
      <c r="J1199" s="17"/>
    </row>
    <row r="1200" spans="1:10" x14ac:dyDescent="0.2">
      <c r="A1200" s="16"/>
      <c r="B1200" s="34"/>
      <c r="C1200" s="16"/>
      <c r="D1200" s="17"/>
      <c r="E1200" s="17"/>
      <c r="F1200" s="17"/>
      <c r="G1200" s="18"/>
      <c r="H1200" s="17"/>
      <c r="I1200" s="23"/>
      <c r="J1200" s="17"/>
    </row>
    <row r="1201" spans="1:10" x14ac:dyDescent="0.2">
      <c r="A1201" s="16"/>
      <c r="B1201" s="34"/>
      <c r="C1201" s="16"/>
      <c r="D1201" s="17"/>
      <c r="E1201" s="17"/>
      <c r="F1201" s="17"/>
      <c r="G1201" s="18"/>
      <c r="H1201" s="17"/>
      <c r="I1201" s="23"/>
      <c r="J1201" s="17"/>
    </row>
    <row r="1202" spans="1:10" x14ac:dyDescent="0.2">
      <c r="A1202" s="16"/>
      <c r="B1202" s="34"/>
      <c r="C1202" s="16"/>
      <c r="D1202" s="17"/>
      <c r="E1202" s="17"/>
      <c r="F1202" s="17"/>
      <c r="G1202" s="18"/>
      <c r="H1202" s="17"/>
      <c r="I1202" s="23"/>
      <c r="J1202" s="17"/>
    </row>
    <row r="1203" spans="1:10" x14ac:dyDescent="0.2">
      <c r="A1203" s="16"/>
      <c r="B1203" s="34"/>
      <c r="C1203" s="16"/>
      <c r="D1203" s="17"/>
      <c r="E1203" s="17"/>
      <c r="F1203" s="17"/>
      <c r="G1203" s="18"/>
      <c r="H1203" s="17"/>
      <c r="I1203" s="23"/>
      <c r="J1203" s="17"/>
    </row>
    <row r="1204" spans="1:10" x14ac:dyDescent="0.2">
      <c r="A1204" s="16"/>
      <c r="B1204" s="34"/>
      <c r="C1204" s="16"/>
      <c r="D1204" s="17"/>
      <c r="E1204" s="17"/>
      <c r="F1204" s="17"/>
      <c r="G1204" s="18"/>
      <c r="H1204" s="17"/>
      <c r="I1204" s="23"/>
      <c r="J1204" s="17"/>
    </row>
    <row r="1205" spans="1:10" x14ac:dyDescent="0.2">
      <c r="A1205" s="16"/>
      <c r="B1205" s="34"/>
      <c r="C1205" s="16"/>
      <c r="D1205" s="17"/>
      <c r="E1205" s="17"/>
      <c r="F1205" s="17"/>
      <c r="G1205" s="18"/>
      <c r="H1205" s="17"/>
      <c r="I1205" s="23"/>
      <c r="J1205" s="17"/>
    </row>
    <row r="1206" spans="1:10" x14ac:dyDescent="0.2">
      <c r="A1206" s="16"/>
      <c r="B1206" s="34"/>
      <c r="C1206" s="16"/>
      <c r="D1206" s="17"/>
      <c r="E1206" s="17"/>
      <c r="F1206" s="17"/>
      <c r="G1206" s="18"/>
      <c r="H1206" s="17"/>
      <c r="I1206" s="23"/>
      <c r="J1206" s="17"/>
    </row>
    <row r="1207" spans="1:10" x14ac:dyDescent="0.2">
      <c r="A1207" s="16"/>
      <c r="B1207" s="34"/>
      <c r="C1207" s="16"/>
      <c r="D1207" s="17"/>
      <c r="E1207" s="17"/>
      <c r="F1207" s="17"/>
      <c r="G1207" s="18"/>
      <c r="H1207" s="17"/>
      <c r="I1207" s="23"/>
      <c r="J1207" s="17"/>
    </row>
    <row r="1208" spans="1:10" x14ac:dyDescent="0.2">
      <c r="A1208" s="16"/>
      <c r="B1208" s="34"/>
      <c r="C1208" s="16"/>
      <c r="D1208" s="17"/>
      <c r="E1208" s="17"/>
      <c r="F1208" s="17"/>
      <c r="G1208" s="18"/>
      <c r="H1208" s="17"/>
      <c r="I1208" s="23"/>
      <c r="J1208" s="17"/>
    </row>
    <row r="1209" spans="1:10" x14ac:dyDescent="0.2">
      <c r="A1209" s="16"/>
      <c r="B1209" s="34"/>
      <c r="C1209" s="16"/>
      <c r="D1209" s="17"/>
      <c r="E1209" s="17"/>
      <c r="F1209" s="17"/>
      <c r="G1209" s="18"/>
      <c r="H1209" s="17"/>
      <c r="I1209" s="23"/>
      <c r="J1209" s="17"/>
    </row>
    <row r="1210" spans="1:10" x14ac:dyDescent="0.2">
      <c r="A1210" s="16"/>
      <c r="B1210" s="34"/>
      <c r="C1210" s="16"/>
      <c r="D1210" s="17"/>
      <c r="E1210" s="17"/>
      <c r="F1210" s="17"/>
      <c r="G1210" s="18"/>
      <c r="H1210" s="17"/>
      <c r="I1210" s="23"/>
      <c r="J1210" s="17"/>
    </row>
    <row r="1211" spans="1:10" x14ac:dyDescent="0.2">
      <c r="A1211" s="16"/>
      <c r="B1211" s="34"/>
      <c r="C1211" s="16"/>
      <c r="D1211" s="17"/>
      <c r="E1211" s="17"/>
      <c r="F1211" s="17"/>
      <c r="G1211" s="18"/>
      <c r="H1211" s="17"/>
      <c r="I1211" s="23"/>
      <c r="J1211" s="17"/>
    </row>
    <row r="1212" spans="1:10" x14ac:dyDescent="0.2">
      <c r="A1212" s="16"/>
      <c r="B1212" s="34"/>
      <c r="C1212" s="16"/>
      <c r="D1212" s="17"/>
      <c r="E1212" s="17"/>
      <c r="F1212" s="17"/>
      <c r="G1212" s="18"/>
      <c r="H1212" s="17"/>
      <c r="I1212" s="23"/>
      <c r="J1212" s="17"/>
    </row>
    <row r="1213" spans="1:10" x14ac:dyDescent="0.2">
      <c r="A1213" s="16"/>
      <c r="B1213" s="34"/>
      <c r="C1213" s="16"/>
      <c r="D1213" s="17"/>
      <c r="E1213" s="17"/>
      <c r="F1213" s="17"/>
      <c r="G1213" s="18"/>
      <c r="H1213" s="17"/>
      <c r="I1213" s="23"/>
      <c r="J1213" s="17"/>
    </row>
    <row r="1214" spans="1:10" x14ac:dyDescent="0.2">
      <c r="A1214" s="16"/>
      <c r="B1214" s="34"/>
      <c r="C1214" s="16"/>
      <c r="D1214" s="17"/>
      <c r="E1214" s="17"/>
      <c r="F1214" s="17"/>
      <c r="G1214" s="18"/>
      <c r="H1214" s="17"/>
      <c r="I1214" s="23"/>
      <c r="J1214" s="17"/>
    </row>
    <row r="1215" spans="1:10" x14ac:dyDescent="0.2">
      <c r="A1215" s="16"/>
      <c r="B1215" s="34"/>
      <c r="C1215" s="16"/>
      <c r="D1215" s="17"/>
      <c r="E1215" s="17"/>
      <c r="F1215" s="17"/>
      <c r="G1215" s="18"/>
      <c r="H1215" s="17"/>
      <c r="I1215" s="23"/>
      <c r="J1215" s="17"/>
    </row>
    <row r="1216" spans="1:10" x14ac:dyDescent="0.2">
      <c r="A1216" s="16"/>
      <c r="B1216" s="34"/>
      <c r="C1216" s="16"/>
      <c r="D1216" s="17"/>
      <c r="E1216" s="17"/>
      <c r="F1216" s="17"/>
      <c r="G1216" s="18"/>
      <c r="H1216" s="17"/>
      <c r="I1216" s="23"/>
      <c r="J1216" s="17"/>
    </row>
    <row r="1217" spans="1:10" x14ac:dyDescent="0.2">
      <c r="A1217" s="16"/>
      <c r="B1217" s="34"/>
      <c r="C1217" s="16"/>
      <c r="D1217" s="17"/>
      <c r="E1217" s="17"/>
      <c r="F1217" s="17"/>
      <c r="G1217" s="18"/>
      <c r="H1217" s="17"/>
      <c r="I1217" s="23"/>
      <c r="J1217" s="17"/>
    </row>
    <row r="1218" spans="1:10" x14ac:dyDescent="0.2">
      <c r="A1218" s="16"/>
      <c r="B1218" s="34"/>
      <c r="C1218" s="16"/>
      <c r="D1218" s="17"/>
      <c r="E1218" s="17"/>
      <c r="F1218" s="17"/>
      <c r="G1218" s="18"/>
      <c r="H1218" s="17"/>
      <c r="I1218" s="23"/>
      <c r="J1218" s="17"/>
    </row>
    <row r="1219" spans="1:10" x14ac:dyDescent="0.2">
      <c r="A1219" s="16"/>
      <c r="B1219" s="34"/>
      <c r="C1219" s="16"/>
      <c r="D1219" s="17"/>
      <c r="E1219" s="17"/>
      <c r="F1219" s="17"/>
      <c r="G1219" s="18"/>
      <c r="H1219" s="17"/>
      <c r="I1219" s="23"/>
      <c r="J1219" s="17"/>
    </row>
    <row r="1220" spans="1:10" x14ac:dyDescent="0.2">
      <c r="A1220" s="16"/>
      <c r="B1220" s="34"/>
      <c r="C1220" s="16"/>
      <c r="D1220" s="17"/>
      <c r="E1220" s="17"/>
      <c r="F1220" s="17"/>
      <c r="G1220" s="18"/>
      <c r="H1220" s="17"/>
      <c r="I1220" s="23"/>
      <c r="J1220" s="17"/>
    </row>
    <row r="1221" spans="1:10" x14ac:dyDescent="0.2">
      <c r="A1221" s="16"/>
      <c r="B1221" s="34"/>
      <c r="C1221" s="16"/>
      <c r="D1221" s="17"/>
      <c r="E1221" s="17"/>
      <c r="F1221" s="17"/>
      <c r="G1221" s="18"/>
      <c r="H1221" s="17"/>
      <c r="I1221" s="23"/>
      <c r="J1221" s="17"/>
    </row>
    <row r="1222" spans="1:10" x14ac:dyDescent="0.2">
      <c r="A1222" s="16"/>
      <c r="B1222" s="34"/>
      <c r="C1222" s="16"/>
      <c r="D1222" s="17"/>
      <c r="E1222" s="17"/>
      <c r="F1222" s="17"/>
      <c r="G1222" s="18"/>
      <c r="H1222" s="17"/>
      <c r="I1222" s="23"/>
      <c r="J1222" s="17"/>
    </row>
    <row r="1223" spans="1:10" x14ac:dyDescent="0.2">
      <c r="A1223" s="16"/>
      <c r="B1223" s="34"/>
      <c r="C1223" s="16"/>
      <c r="D1223" s="17"/>
      <c r="E1223" s="17"/>
      <c r="F1223" s="17"/>
      <c r="G1223" s="18"/>
      <c r="H1223" s="17"/>
      <c r="I1223" s="23"/>
      <c r="J1223" s="17"/>
    </row>
    <row r="1224" spans="1:10" x14ac:dyDescent="0.2">
      <c r="A1224" s="16"/>
      <c r="B1224" s="34"/>
      <c r="C1224" s="16"/>
      <c r="D1224" s="17"/>
      <c r="E1224" s="17"/>
      <c r="F1224" s="17"/>
      <c r="G1224" s="18"/>
      <c r="H1224" s="17"/>
      <c r="I1224" s="23"/>
      <c r="J1224" s="17"/>
    </row>
    <row r="1225" spans="1:10" x14ac:dyDescent="0.2">
      <c r="A1225" s="16"/>
      <c r="B1225" s="34"/>
      <c r="C1225" s="16"/>
      <c r="D1225" s="17"/>
      <c r="E1225" s="17"/>
      <c r="F1225" s="17"/>
      <c r="G1225" s="18"/>
      <c r="H1225" s="17"/>
      <c r="I1225" s="23"/>
      <c r="J1225" s="17"/>
    </row>
    <row r="1226" spans="1:10" x14ac:dyDescent="0.2">
      <c r="A1226" s="16"/>
      <c r="B1226" s="34"/>
      <c r="C1226" s="16"/>
      <c r="D1226" s="17"/>
      <c r="E1226" s="17"/>
      <c r="F1226" s="17"/>
      <c r="G1226" s="18"/>
      <c r="H1226" s="17"/>
      <c r="I1226" s="23"/>
      <c r="J1226" s="17"/>
    </row>
    <row r="1227" spans="1:10" x14ac:dyDescent="0.2">
      <c r="A1227" s="16"/>
      <c r="B1227" s="34"/>
      <c r="C1227" s="16"/>
      <c r="D1227" s="17"/>
      <c r="E1227" s="17"/>
      <c r="F1227" s="17"/>
      <c r="G1227" s="18"/>
      <c r="H1227" s="17"/>
      <c r="I1227" s="23"/>
      <c r="J1227" s="17"/>
    </row>
    <row r="1228" spans="1:10" x14ac:dyDescent="0.2">
      <c r="A1228" s="16"/>
      <c r="B1228" s="34"/>
      <c r="C1228" s="16"/>
      <c r="D1228" s="17"/>
      <c r="E1228" s="17"/>
      <c r="F1228" s="17"/>
      <c r="G1228" s="18"/>
      <c r="H1228" s="17"/>
      <c r="I1228" s="23"/>
      <c r="J1228" s="17"/>
    </row>
    <row r="1229" spans="1:10" x14ac:dyDescent="0.2">
      <c r="A1229" s="16"/>
      <c r="B1229" s="34"/>
      <c r="C1229" s="16"/>
      <c r="D1229" s="17"/>
      <c r="E1229" s="17"/>
      <c r="F1229" s="17"/>
      <c r="G1229" s="18"/>
      <c r="H1229" s="17"/>
      <c r="I1229" s="23"/>
      <c r="J1229" s="17"/>
    </row>
    <row r="1230" spans="1:10" x14ac:dyDescent="0.2">
      <c r="A1230" s="16"/>
      <c r="B1230" s="34"/>
      <c r="C1230" s="16"/>
      <c r="D1230" s="17"/>
      <c r="E1230" s="17"/>
      <c r="F1230" s="17"/>
      <c r="G1230" s="18"/>
      <c r="H1230" s="17"/>
      <c r="I1230" s="23"/>
      <c r="J1230" s="17"/>
    </row>
    <row r="1231" spans="1:10" x14ac:dyDescent="0.2">
      <c r="A1231" s="16"/>
      <c r="B1231" s="34"/>
      <c r="C1231" s="16"/>
      <c r="D1231" s="17"/>
      <c r="E1231" s="17"/>
      <c r="F1231" s="17"/>
      <c r="G1231" s="18"/>
      <c r="H1231" s="17"/>
      <c r="I1231" s="23"/>
      <c r="J1231" s="17"/>
    </row>
    <row r="1232" spans="1:10" x14ac:dyDescent="0.2">
      <c r="A1232" s="16"/>
      <c r="B1232" s="34"/>
      <c r="C1232" s="16"/>
      <c r="D1232" s="17"/>
      <c r="E1232" s="17"/>
      <c r="F1232" s="17"/>
      <c r="G1232" s="18"/>
      <c r="H1232" s="17"/>
      <c r="I1232" s="23"/>
      <c r="J1232" s="17"/>
    </row>
    <row r="1233" spans="1:10" x14ac:dyDescent="0.2">
      <c r="A1233" s="16"/>
      <c r="B1233" s="34"/>
      <c r="C1233" s="16"/>
      <c r="D1233" s="17"/>
      <c r="E1233" s="17"/>
      <c r="F1233" s="17"/>
      <c r="G1233" s="18"/>
      <c r="H1233" s="17"/>
      <c r="I1233" s="23"/>
      <c r="J1233" s="17"/>
    </row>
    <row r="1234" spans="1:10" x14ac:dyDescent="0.2">
      <c r="A1234" s="16"/>
      <c r="B1234" s="34"/>
      <c r="C1234" s="16"/>
      <c r="D1234" s="17"/>
      <c r="E1234" s="17"/>
      <c r="F1234" s="17"/>
      <c r="G1234" s="18"/>
      <c r="H1234" s="17"/>
      <c r="I1234" s="23"/>
      <c r="J1234" s="17"/>
    </row>
    <row r="1235" spans="1:10" x14ac:dyDescent="0.2">
      <c r="A1235" s="16"/>
      <c r="B1235" s="34"/>
      <c r="C1235" s="16"/>
      <c r="D1235" s="17"/>
      <c r="E1235" s="17"/>
      <c r="F1235" s="17"/>
      <c r="G1235" s="18"/>
      <c r="H1235" s="17"/>
      <c r="I1235" s="23"/>
      <c r="J1235" s="17"/>
    </row>
    <row r="1236" spans="1:10" x14ac:dyDescent="0.2">
      <c r="A1236" s="16"/>
      <c r="B1236" s="34"/>
      <c r="C1236" s="16"/>
      <c r="D1236" s="17"/>
      <c r="E1236" s="17"/>
      <c r="F1236" s="17"/>
      <c r="G1236" s="18"/>
      <c r="H1236" s="17"/>
      <c r="I1236" s="23"/>
      <c r="J1236" s="17"/>
    </row>
    <row r="1237" spans="1:10" x14ac:dyDescent="0.2">
      <c r="A1237" s="16"/>
      <c r="B1237" s="34"/>
      <c r="C1237" s="16"/>
      <c r="D1237" s="17"/>
      <c r="E1237" s="17"/>
      <c r="F1237" s="17"/>
      <c r="G1237" s="18"/>
      <c r="H1237" s="17"/>
      <c r="I1237" s="23"/>
      <c r="J1237" s="17"/>
    </row>
    <row r="1238" spans="1:10" x14ac:dyDescent="0.2">
      <c r="A1238" s="16"/>
      <c r="B1238" s="34"/>
      <c r="C1238" s="16"/>
      <c r="D1238" s="17"/>
      <c r="E1238" s="17"/>
      <c r="F1238" s="17"/>
      <c r="G1238" s="18"/>
      <c r="H1238" s="17"/>
      <c r="I1238" s="23"/>
      <c r="J1238" s="17"/>
    </row>
    <row r="1239" spans="1:10" x14ac:dyDescent="0.2">
      <c r="A1239" s="16"/>
      <c r="B1239" s="34"/>
      <c r="C1239" s="16"/>
      <c r="D1239" s="17"/>
      <c r="E1239" s="17"/>
      <c r="F1239" s="17"/>
      <c r="G1239" s="18"/>
      <c r="H1239" s="17"/>
      <c r="I1239" s="23"/>
      <c r="J1239" s="17"/>
    </row>
    <row r="1240" spans="1:10" x14ac:dyDescent="0.2">
      <c r="A1240" s="16"/>
      <c r="B1240" s="34"/>
      <c r="C1240" s="16"/>
      <c r="D1240" s="17"/>
      <c r="E1240" s="17"/>
      <c r="F1240" s="17"/>
      <c r="G1240" s="18"/>
      <c r="H1240" s="17"/>
      <c r="I1240" s="23"/>
      <c r="J1240" s="17"/>
    </row>
    <row r="1241" spans="1:10" x14ac:dyDescent="0.2">
      <c r="A1241" s="16"/>
      <c r="B1241" s="34"/>
      <c r="C1241" s="16"/>
      <c r="D1241" s="17"/>
      <c r="E1241" s="17"/>
      <c r="F1241" s="17"/>
      <c r="G1241" s="18"/>
      <c r="H1241" s="17"/>
      <c r="I1241" s="23"/>
      <c r="J1241" s="17"/>
    </row>
    <row r="1242" spans="1:10" x14ac:dyDescent="0.2">
      <c r="A1242" s="16"/>
      <c r="B1242" s="34"/>
      <c r="C1242" s="16"/>
      <c r="D1242" s="17"/>
      <c r="E1242" s="17"/>
      <c r="F1242" s="17"/>
      <c r="G1242" s="18"/>
      <c r="H1242" s="17"/>
      <c r="I1242" s="23"/>
      <c r="J1242" s="17"/>
    </row>
    <row r="1243" spans="1:10" x14ac:dyDescent="0.2">
      <c r="A1243" s="16"/>
      <c r="B1243" s="34"/>
      <c r="C1243" s="16"/>
      <c r="D1243" s="17"/>
      <c r="E1243" s="17"/>
      <c r="F1243" s="17"/>
      <c r="G1243" s="18"/>
      <c r="H1243" s="17"/>
      <c r="I1243" s="23"/>
      <c r="J1243" s="17"/>
    </row>
    <row r="1244" spans="1:10" x14ac:dyDescent="0.2">
      <c r="A1244" s="16"/>
      <c r="B1244" s="34"/>
      <c r="C1244" s="16"/>
      <c r="D1244" s="17"/>
      <c r="E1244" s="17"/>
      <c r="F1244" s="17"/>
      <c r="G1244" s="18"/>
      <c r="H1244" s="17"/>
      <c r="I1244" s="23"/>
      <c r="J1244" s="17"/>
    </row>
    <row r="1245" spans="1:10" x14ac:dyDescent="0.2">
      <c r="A1245" s="16"/>
      <c r="B1245" s="34"/>
      <c r="C1245" s="16"/>
      <c r="D1245" s="17"/>
      <c r="E1245" s="17"/>
      <c r="F1245" s="17"/>
      <c r="G1245" s="18"/>
      <c r="H1245" s="17"/>
      <c r="I1245" s="23"/>
      <c r="J1245" s="17"/>
    </row>
    <row r="1246" spans="1:10" x14ac:dyDescent="0.2">
      <c r="A1246" s="16"/>
      <c r="B1246" s="34"/>
      <c r="C1246" s="16"/>
      <c r="D1246" s="17"/>
      <c r="E1246" s="17"/>
      <c r="F1246" s="17"/>
      <c r="G1246" s="18"/>
      <c r="H1246" s="17"/>
      <c r="I1246" s="23"/>
      <c r="J1246" s="17"/>
    </row>
    <row r="1247" spans="1:10" x14ac:dyDescent="0.2">
      <c r="A1247" s="16"/>
      <c r="B1247" s="34"/>
      <c r="C1247" s="16"/>
      <c r="D1247" s="17"/>
      <c r="E1247" s="17"/>
      <c r="F1247" s="17"/>
      <c r="G1247" s="18"/>
      <c r="H1247" s="17"/>
      <c r="I1247" s="23"/>
      <c r="J1247" s="17"/>
    </row>
    <row r="1248" spans="1:10" x14ac:dyDescent="0.2">
      <c r="A1248" s="16"/>
      <c r="B1248" s="34"/>
      <c r="C1248" s="16"/>
      <c r="D1248" s="17"/>
      <c r="E1248" s="17"/>
      <c r="F1248" s="17"/>
      <c r="G1248" s="18"/>
      <c r="H1248" s="17"/>
      <c r="I1248" s="23"/>
      <c r="J1248" s="17"/>
    </row>
    <row r="1249" spans="1:10" x14ac:dyDescent="0.2">
      <c r="A1249" s="16"/>
      <c r="B1249" s="34"/>
      <c r="C1249" s="16"/>
      <c r="D1249" s="17"/>
      <c r="E1249" s="17"/>
      <c r="F1249" s="17"/>
      <c r="G1249" s="18"/>
      <c r="H1249" s="17"/>
      <c r="I1249" s="23"/>
      <c r="J1249" s="17"/>
    </row>
    <row r="1250" spans="1:10" x14ac:dyDescent="0.2">
      <c r="A1250" s="16"/>
      <c r="B1250" s="34"/>
      <c r="C1250" s="16"/>
      <c r="D1250" s="17"/>
      <c r="E1250" s="17"/>
      <c r="F1250" s="17"/>
      <c r="G1250" s="18"/>
      <c r="H1250" s="17"/>
      <c r="I1250" s="23"/>
      <c r="J1250" s="17"/>
    </row>
    <row r="1251" spans="1:10" x14ac:dyDescent="0.2">
      <c r="A1251" s="16"/>
      <c r="B1251" s="34"/>
      <c r="C1251" s="16"/>
      <c r="D1251" s="17"/>
      <c r="E1251" s="17"/>
      <c r="F1251" s="17"/>
      <c r="G1251" s="18"/>
      <c r="H1251" s="17"/>
      <c r="I1251" s="23"/>
      <c r="J1251" s="17"/>
    </row>
    <row r="1252" spans="1:10" x14ac:dyDescent="0.2">
      <c r="A1252" s="16"/>
      <c r="B1252" s="34"/>
      <c r="C1252" s="16"/>
      <c r="D1252" s="17"/>
      <c r="E1252" s="17"/>
      <c r="F1252" s="17"/>
      <c r="G1252" s="18"/>
      <c r="H1252" s="17"/>
      <c r="I1252" s="23"/>
      <c r="J1252" s="17"/>
    </row>
    <row r="1253" spans="1:10" x14ac:dyDescent="0.2">
      <c r="A1253" s="16"/>
      <c r="B1253" s="34"/>
      <c r="C1253" s="16"/>
      <c r="D1253" s="17"/>
      <c r="E1253" s="17"/>
      <c r="F1253" s="17"/>
      <c r="G1253" s="18"/>
      <c r="H1253" s="17"/>
      <c r="I1253" s="23"/>
      <c r="J1253" s="17"/>
    </row>
    <row r="1254" spans="1:10" x14ac:dyDescent="0.2">
      <c r="A1254" s="16"/>
      <c r="B1254" s="34"/>
      <c r="C1254" s="16"/>
      <c r="D1254" s="17"/>
      <c r="E1254" s="17"/>
      <c r="F1254" s="17"/>
      <c r="G1254" s="18"/>
      <c r="H1254" s="17"/>
      <c r="I1254" s="23"/>
      <c r="J1254" s="17"/>
    </row>
    <row r="1255" spans="1:10" x14ac:dyDescent="0.2">
      <c r="A1255" s="16"/>
      <c r="B1255" s="34"/>
      <c r="C1255" s="16"/>
      <c r="D1255" s="17"/>
      <c r="E1255" s="17"/>
      <c r="F1255" s="17"/>
      <c r="G1255" s="18"/>
      <c r="H1255" s="17"/>
      <c r="I1255" s="23"/>
      <c r="J1255" s="17"/>
    </row>
    <row r="1256" spans="1:10" x14ac:dyDescent="0.2">
      <c r="A1256" s="16"/>
      <c r="B1256" s="34"/>
      <c r="C1256" s="16"/>
      <c r="D1256" s="17"/>
      <c r="E1256" s="17"/>
      <c r="F1256" s="17"/>
      <c r="G1256" s="18"/>
      <c r="H1256" s="17"/>
      <c r="I1256" s="23"/>
      <c r="J1256" s="17"/>
    </row>
    <row r="1257" spans="1:10" x14ac:dyDescent="0.2">
      <c r="A1257" s="16"/>
      <c r="B1257" s="34"/>
      <c r="C1257" s="16"/>
      <c r="D1257" s="17"/>
      <c r="E1257" s="17"/>
      <c r="F1257" s="17"/>
      <c r="G1257" s="18"/>
      <c r="H1257" s="17"/>
      <c r="I1257" s="23"/>
      <c r="J1257" s="17"/>
    </row>
    <row r="1258" spans="1:10" x14ac:dyDescent="0.2">
      <c r="A1258" s="16"/>
      <c r="B1258" s="34"/>
      <c r="C1258" s="16"/>
      <c r="D1258" s="17"/>
      <c r="E1258" s="17"/>
      <c r="F1258" s="17"/>
      <c r="G1258" s="18"/>
      <c r="H1258" s="17"/>
      <c r="I1258" s="23"/>
      <c r="J1258" s="17"/>
    </row>
    <row r="1259" spans="1:10" x14ac:dyDescent="0.2">
      <c r="A1259" s="16"/>
      <c r="B1259" s="34"/>
      <c r="C1259" s="16"/>
      <c r="D1259" s="17"/>
      <c r="E1259" s="17"/>
      <c r="F1259" s="17"/>
      <c r="G1259" s="18"/>
      <c r="H1259" s="17"/>
      <c r="I1259" s="23"/>
      <c r="J1259" s="17"/>
    </row>
    <row r="1260" spans="1:10" x14ac:dyDescent="0.2">
      <c r="A1260" s="16"/>
      <c r="B1260" s="34"/>
      <c r="C1260" s="16"/>
      <c r="D1260" s="17"/>
      <c r="E1260" s="17"/>
      <c r="F1260" s="17"/>
      <c r="G1260" s="18"/>
      <c r="H1260" s="17"/>
      <c r="I1260" s="23"/>
      <c r="J1260" s="17"/>
    </row>
    <row r="1261" spans="1:10" x14ac:dyDescent="0.2">
      <c r="A1261" s="16"/>
      <c r="B1261" s="34"/>
      <c r="C1261" s="16"/>
      <c r="D1261" s="17"/>
      <c r="E1261" s="17"/>
      <c r="F1261" s="17"/>
      <c r="G1261" s="18"/>
      <c r="H1261" s="17"/>
      <c r="I1261" s="23"/>
      <c r="J1261" s="17"/>
    </row>
    <row r="1262" spans="1:10" x14ac:dyDescent="0.2">
      <c r="A1262" s="16"/>
      <c r="B1262" s="34"/>
      <c r="C1262" s="16"/>
      <c r="D1262" s="17"/>
      <c r="E1262" s="17"/>
      <c r="F1262" s="17"/>
      <c r="G1262" s="18"/>
      <c r="H1262" s="17"/>
      <c r="I1262" s="23"/>
      <c r="J1262" s="17"/>
    </row>
    <row r="1263" spans="1:10" x14ac:dyDescent="0.2">
      <c r="A1263" s="16"/>
      <c r="B1263" s="34"/>
      <c r="C1263" s="16"/>
      <c r="D1263" s="17"/>
      <c r="E1263" s="17"/>
      <c r="F1263" s="17"/>
      <c r="G1263" s="18"/>
      <c r="H1263" s="17"/>
      <c r="I1263" s="23"/>
      <c r="J1263" s="17"/>
    </row>
    <row r="1264" spans="1:10" x14ac:dyDescent="0.2">
      <c r="A1264" s="16"/>
      <c r="B1264" s="34"/>
      <c r="C1264" s="16"/>
      <c r="D1264" s="17"/>
      <c r="E1264" s="17"/>
      <c r="F1264" s="17"/>
      <c r="G1264" s="18"/>
      <c r="H1264" s="17"/>
      <c r="I1264" s="23"/>
      <c r="J1264" s="17"/>
    </row>
    <row r="1265" spans="1:10" x14ac:dyDescent="0.2">
      <c r="A1265" s="16"/>
      <c r="B1265" s="34"/>
      <c r="C1265" s="16"/>
      <c r="D1265" s="17"/>
      <c r="E1265" s="17"/>
      <c r="F1265" s="17"/>
      <c r="G1265" s="18"/>
      <c r="H1265" s="17"/>
      <c r="I1265" s="23"/>
      <c r="J1265" s="17"/>
    </row>
    <row r="1266" spans="1:10" x14ac:dyDescent="0.2">
      <c r="A1266" s="16"/>
      <c r="B1266" s="34"/>
      <c r="C1266" s="16"/>
      <c r="D1266" s="17"/>
      <c r="E1266" s="17"/>
      <c r="F1266" s="17"/>
      <c r="G1266" s="18"/>
      <c r="H1266" s="17"/>
      <c r="I1266" s="23"/>
      <c r="J1266" s="17"/>
    </row>
    <row r="1267" spans="1:10" x14ac:dyDescent="0.2">
      <c r="A1267" s="16"/>
      <c r="B1267" s="34"/>
      <c r="C1267" s="16"/>
      <c r="D1267" s="17"/>
      <c r="E1267" s="17"/>
      <c r="F1267" s="17"/>
      <c r="G1267" s="18"/>
      <c r="H1267" s="17"/>
      <c r="I1267" s="23"/>
      <c r="J1267" s="17"/>
    </row>
    <row r="1268" spans="1:10" x14ac:dyDescent="0.2">
      <c r="A1268" s="16"/>
      <c r="B1268" s="34"/>
      <c r="C1268" s="16"/>
      <c r="D1268" s="17"/>
      <c r="E1268" s="17"/>
      <c r="F1268" s="17"/>
      <c r="G1268" s="18"/>
      <c r="H1268" s="17"/>
      <c r="I1268" s="23"/>
      <c r="J1268" s="17"/>
    </row>
    <row r="1269" spans="1:10" x14ac:dyDescent="0.2">
      <c r="A1269" s="16"/>
      <c r="B1269" s="34"/>
      <c r="C1269" s="16"/>
      <c r="D1269" s="17"/>
      <c r="E1269" s="17"/>
      <c r="F1269" s="17"/>
      <c r="G1269" s="18"/>
      <c r="H1269" s="17"/>
      <c r="I1269" s="23"/>
      <c r="J1269" s="17"/>
    </row>
    <row r="1270" spans="1:10" x14ac:dyDescent="0.2">
      <c r="A1270" s="16"/>
      <c r="B1270" s="34"/>
      <c r="C1270" s="16"/>
      <c r="D1270" s="17"/>
      <c r="E1270" s="17"/>
      <c r="F1270" s="17"/>
      <c r="G1270" s="18"/>
      <c r="H1270" s="17"/>
      <c r="I1270" s="23"/>
      <c r="J1270" s="17"/>
    </row>
    <row r="1271" spans="1:10" x14ac:dyDescent="0.2">
      <c r="A1271" s="16"/>
      <c r="B1271" s="34"/>
      <c r="C1271" s="16"/>
      <c r="D1271" s="17"/>
      <c r="E1271" s="17"/>
      <c r="F1271" s="17"/>
      <c r="G1271" s="18"/>
      <c r="H1271" s="17"/>
      <c r="I1271" s="23"/>
      <c r="J1271" s="17"/>
    </row>
    <row r="1272" spans="1:10" x14ac:dyDescent="0.2">
      <c r="A1272" s="16"/>
      <c r="B1272" s="34"/>
      <c r="C1272" s="16"/>
      <c r="D1272" s="17"/>
      <c r="E1272" s="17"/>
      <c r="F1272" s="17"/>
      <c r="G1272" s="18"/>
      <c r="H1272" s="17"/>
      <c r="I1272" s="23"/>
      <c r="J1272" s="17"/>
    </row>
    <row r="1273" spans="1:10" x14ac:dyDescent="0.2">
      <c r="A1273" s="16"/>
      <c r="B1273" s="34"/>
      <c r="C1273" s="16"/>
      <c r="D1273" s="17"/>
      <c r="E1273" s="17"/>
      <c r="F1273" s="17"/>
      <c r="G1273" s="18"/>
      <c r="H1273" s="17"/>
      <c r="I1273" s="23"/>
      <c r="J1273" s="17"/>
    </row>
    <row r="1274" spans="1:10" x14ac:dyDescent="0.2">
      <c r="A1274" s="16"/>
      <c r="B1274" s="34"/>
      <c r="C1274" s="16"/>
      <c r="D1274" s="17"/>
      <c r="E1274" s="17"/>
      <c r="F1274" s="17"/>
      <c r="G1274" s="18"/>
      <c r="H1274" s="17"/>
      <c r="I1274" s="23"/>
      <c r="J1274" s="17"/>
    </row>
    <row r="1275" spans="1:10" x14ac:dyDescent="0.2">
      <c r="A1275" s="16"/>
      <c r="B1275" s="34"/>
      <c r="C1275" s="16"/>
      <c r="D1275" s="17"/>
      <c r="E1275" s="17"/>
      <c r="F1275" s="17"/>
      <c r="G1275" s="18"/>
      <c r="H1275" s="17"/>
      <c r="I1275" s="23"/>
      <c r="J1275" s="17"/>
    </row>
    <row r="1276" spans="1:10" x14ac:dyDescent="0.2">
      <c r="A1276" s="16"/>
      <c r="B1276" s="34"/>
      <c r="C1276" s="16"/>
      <c r="D1276" s="17"/>
      <c r="E1276" s="17"/>
      <c r="F1276" s="17"/>
      <c r="G1276" s="18"/>
      <c r="H1276" s="17"/>
      <c r="I1276" s="23"/>
      <c r="J1276" s="17"/>
    </row>
    <row r="1277" spans="1:10" x14ac:dyDescent="0.2">
      <c r="A1277" s="16"/>
      <c r="B1277" s="34"/>
      <c r="C1277" s="16"/>
      <c r="D1277" s="17"/>
      <c r="E1277" s="17"/>
      <c r="F1277" s="17"/>
      <c r="G1277" s="18"/>
      <c r="H1277" s="17"/>
      <c r="I1277" s="23"/>
      <c r="J1277" s="17"/>
    </row>
    <row r="1278" spans="1:10" x14ac:dyDescent="0.2">
      <c r="A1278" s="16"/>
      <c r="B1278" s="34"/>
      <c r="C1278" s="16"/>
      <c r="D1278" s="17"/>
      <c r="E1278" s="17"/>
      <c r="F1278" s="17"/>
      <c r="G1278" s="18"/>
      <c r="H1278" s="17"/>
      <c r="I1278" s="23"/>
      <c r="J1278" s="17"/>
    </row>
    <row r="1279" spans="1:10" x14ac:dyDescent="0.2">
      <c r="A1279" s="16"/>
      <c r="B1279" s="34"/>
      <c r="C1279" s="16"/>
      <c r="D1279" s="17"/>
      <c r="E1279" s="17"/>
      <c r="F1279" s="17"/>
      <c r="G1279" s="18"/>
      <c r="H1279" s="17"/>
      <c r="I1279" s="23"/>
      <c r="J1279" s="17"/>
    </row>
    <row r="1280" spans="1:10" x14ac:dyDescent="0.2">
      <c r="A1280" s="16"/>
      <c r="B1280" s="34"/>
      <c r="C1280" s="16"/>
      <c r="D1280" s="17"/>
      <c r="E1280" s="17"/>
      <c r="F1280" s="17"/>
      <c r="G1280" s="18"/>
      <c r="H1280" s="17"/>
      <c r="I1280" s="23"/>
      <c r="J1280" s="17"/>
    </row>
    <row r="1281" spans="1:10" x14ac:dyDescent="0.2">
      <c r="A1281" s="16"/>
      <c r="B1281" s="34"/>
      <c r="C1281" s="16"/>
      <c r="D1281" s="17"/>
      <c r="E1281" s="17"/>
      <c r="F1281" s="17"/>
      <c r="G1281" s="18"/>
      <c r="H1281" s="17"/>
      <c r="I1281" s="23"/>
      <c r="J1281" s="17"/>
    </row>
    <row r="1282" spans="1:10" x14ac:dyDescent="0.2">
      <c r="A1282" s="16"/>
      <c r="B1282" s="34"/>
      <c r="C1282" s="16"/>
      <c r="D1282" s="17"/>
      <c r="E1282" s="17"/>
      <c r="F1282" s="17"/>
      <c r="G1282" s="18"/>
      <c r="H1282" s="17"/>
      <c r="I1282" s="23"/>
      <c r="J1282" s="17"/>
    </row>
    <row r="1283" spans="1:10" x14ac:dyDescent="0.2">
      <c r="A1283" s="16"/>
      <c r="B1283" s="34"/>
      <c r="C1283" s="16"/>
      <c r="D1283" s="17"/>
      <c r="E1283" s="17"/>
      <c r="F1283" s="17"/>
      <c r="G1283" s="18"/>
      <c r="H1283" s="17"/>
      <c r="I1283" s="23"/>
      <c r="J1283" s="17"/>
    </row>
    <row r="1284" spans="1:10" x14ac:dyDescent="0.2">
      <c r="A1284" s="16"/>
      <c r="B1284" s="34"/>
      <c r="C1284" s="16"/>
      <c r="D1284" s="17"/>
      <c r="E1284" s="17"/>
      <c r="F1284" s="17"/>
      <c r="G1284" s="18"/>
      <c r="H1284" s="17"/>
      <c r="I1284" s="23"/>
      <c r="J1284" s="17"/>
    </row>
    <row r="1285" spans="1:10" x14ac:dyDescent="0.2">
      <c r="A1285" s="16"/>
      <c r="B1285" s="34"/>
      <c r="C1285" s="16"/>
      <c r="D1285" s="17"/>
      <c r="E1285" s="17"/>
      <c r="F1285" s="17"/>
      <c r="G1285" s="18"/>
      <c r="H1285" s="17"/>
      <c r="I1285" s="23"/>
      <c r="J1285" s="17"/>
    </row>
    <row r="1286" spans="1:10" x14ac:dyDescent="0.2">
      <c r="A1286" s="16"/>
      <c r="B1286" s="34"/>
      <c r="C1286" s="16"/>
      <c r="D1286" s="17"/>
      <c r="E1286" s="17"/>
      <c r="F1286" s="17"/>
      <c r="G1286" s="18"/>
      <c r="H1286" s="17"/>
      <c r="I1286" s="23"/>
      <c r="J1286" s="17"/>
    </row>
    <row r="1287" spans="1:10" x14ac:dyDescent="0.2">
      <c r="A1287" s="16"/>
      <c r="B1287" s="34"/>
      <c r="C1287" s="16"/>
      <c r="D1287" s="17"/>
      <c r="E1287" s="17"/>
      <c r="F1287" s="17"/>
      <c r="G1287" s="18"/>
      <c r="H1287" s="17"/>
      <c r="I1287" s="23"/>
      <c r="J1287" s="17"/>
    </row>
    <row r="1288" spans="1:10" x14ac:dyDescent="0.2">
      <c r="A1288" s="16"/>
      <c r="B1288" s="34"/>
      <c r="C1288" s="16"/>
      <c r="D1288" s="17"/>
      <c r="E1288" s="17"/>
      <c r="F1288" s="17"/>
      <c r="G1288" s="18"/>
      <c r="H1288" s="17"/>
      <c r="I1288" s="23"/>
      <c r="J1288" s="17"/>
    </row>
    <row r="1289" spans="1:10" x14ac:dyDescent="0.2">
      <c r="A1289" s="16"/>
      <c r="B1289" s="34"/>
      <c r="C1289" s="16"/>
      <c r="D1289" s="17"/>
      <c r="E1289" s="17"/>
      <c r="F1289" s="17"/>
      <c r="G1289" s="18"/>
      <c r="H1289" s="17"/>
      <c r="I1289" s="23"/>
      <c r="J1289" s="17"/>
    </row>
    <row r="1290" spans="1:10" x14ac:dyDescent="0.2">
      <c r="A1290" s="16"/>
      <c r="B1290" s="34"/>
      <c r="C1290" s="16"/>
      <c r="D1290" s="17"/>
      <c r="E1290" s="17"/>
      <c r="F1290" s="17"/>
      <c r="G1290" s="18"/>
      <c r="H1290" s="17"/>
      <c r="I1290" s="23"/>
      <c r="J1290" s="17"/>
    </row>
    <row r="1291" spans="1:10" x14ac:dyDescent="0.2">
      <c r="A1291" s="16"/>
      <c r="B1291" s="34"/>
      <c r="C1291" s="16"/>
      <c r="D1291" s="17"/>
      <c r="E1291" s="17"/>
      <c r="F1291" s="17"/>
      <c r="G1291" s="18"/>
      <c r="H1291" s="17"/>
      <c r="I1291" s="23"/>
      <c r="J1291" s="17"/>
    </row>
    <row r="1292" spans="1:10" x14ac:dyDescent="0.2">
      <c r="A1292" s="16"/>
      <c r="B1292" s="34"/>
      <c r="C1292" s="16"/>
      <c r="D1292" s="17"/>
      <c r="E1292" s="17"/>
      <c r="F1292" s="17"/>
      <c r="G1292" s="18"/>
      <c r="H1292" s="17"/>
      <c r="I1292" s="23"/>
      <c r="J1292" s="17"/>
    </row>
    <row r="1293" spans="1:10" x14ac:dyDescent="0.2">
      <c r="A1293" s="16"/>
      <c r="B1293" s="34"/>
      <c r="C1293" s="16"/>
      <c r="D1293" s="17"/>
      <c r="E1293" s="17"/>
      <c r="F1293" s="17"/>
      <c r="G1293" s="18"/>
      <c r="H1293" s="17"/>
      <c r="I1293" s="23"/>
      <c r="J1293" s="17"/>
    </row>
    <row r="1294" spans="1:10" x14ac:dyDescent="0.2">
      <c r="A1294" s="16"/>
      <c r="B1294" s="34"/>
      <c r="C1294" s="16"/>
      <c r="D1294" s="17"/>
      <c r="E1294" s="17"/>
      <c r="F1294" s="17"/>
      <c r="G1294" s="18"/>
      <c r="H1294" s="17"/>
      <c r="I1294" s="23"/>
      <c r="J1294" s="17"/>
    </row>
    <row r="1295" spans="1:10" x14ac:dyDescent="0.2">
      <c r="A1295" s="16"/>
      <c r="B1295" s="34"/>
      <c r="C1295" s="16"/>
      <c r="D1295" s="17"/>
      <c r="E1295" s="17"/>
      <c r="F1295" s="17"/>
      <c r="G1295" s="18"/>
      <c r="H1295" s="17"/>
      <c r="I1295" s="23"/>
      <c r="J1295" s="17"/>
    </row>
    <row r="1296" spans="1:10" x14ac:dyDescent="0.2">
      <c r="A1296" s="16"/>
      <c r="B1296" s="34"/>
      <c r="C1296" s="16"/>
      <c r="D1296" s="17"/>
      <c r="E1296" s="17"/>
      <c r="F1296" s="17"/>
      <c r="G1296" s="18"/>
      <c r="H1296" s="17"/>
      <c r="I1296" s="23"/>
      <c r="J1296" s="17"/>
    </row>
    <row r="1297" spans="1:10" x14ac:dyDescent="0.2">
      <c r="A1297" s="16"/>
      <c r="B1297" s="34"/>
      <c r="C1297" s="16"/>
      <c r="D1297" s="17"/>
      <c r="E1297" s="17"/>
      <c r="F1297" s="17"/>
      <c r="G1297" s="18"/>
      <c r="H1297" s="17"/>
      <c r="I1297" s="23"/>
      <c r="J1297" s="17"/>
    </row>
    <row r="1298" spans="1:10" x14ac:dyDescent="0.2">
      <c r="A1298" s="16"/>
      <c r="B1298" s="34"/>
      <c r="C1298" s="16"/>
      <c r="D1298" s="17"/>
      <c r="E1298" s="17"/>
      <c r="F1298" s="17"/>
      <c r="G1298" s="18"/>
      <c r="H1298" s="17"/>
      <c r="I1298" s="23"/>
      <c r="J1298" s="17"/>
    </row>
    <row r="1299" spans="1:10" x14ac:dyDescent="0.2">
      <c r="A1299" s="16"/>
      <c r="B1299" s="34"/>
      <c r="C1299" s="16"/>
      <c r="D1299" s="17"/>
      <c r="E1299" s="17"/>
      <c r="F1299" s="17"/>
      <c r="G1299" s="18"/>
      <c r="H1299" s="17"/>
      <c r="I1299" s="23"/>
      <c r="J1299" s="17"/>
    </row>
    <row r="1300" spans="1:10" x14ac:dyDescent="0.2">
      <c r="A1300" s="16"/>
      <c r="B1300" s="34"/>
      <c r="C1300" s="16"/>
      <c r="D1300" s="17"/>
      <c r="E1300" s="17"/>
      <c r="F1300" s="17"/>
      <c r="G1300" s="18"/>
      <c r="H1300" s="17"/>
      <c r="I1300" s="23"/>
      <c r="J1300" s="17"/>
    </row>
    <row r="1301" spans="1:10" x14ac:dyDescent="0.2">
      <c r="A1301" s="16"/>
      <c r="B1301" s="34"/>
      <c r="C1301" s="16"/>
      <c r="D1301" s="17"/>
      <c r="E1301" s="17"/>
      <c r="F1301" s="17"/>
      <c r="G1301" s="18"/>
      <c r="H1301" s="17"/>
      <c r="I1301" s="17"/>
      <c r="J1301" s="17"/>
    </row>
    <row r="1302" spans="1:10" x14ac:dyDescent="0.2">
      <c r="A1302" s="16"/>
      <c r="B1302" s="34"/>
      <c r="C1302" s="16"/>
      <c r="D1302" s="17"/>
      <c r="E1302" s="17"/>
      <c r="F1302" s="17"/>
      <c r="G1302" s="18"/>
      <c r="H1302" s="17"/>
      <c r="I1302" s="17"/>
      <c r="J1302" s="17"/>
    </row>
    <row r="1303" spans="1:10" x14ac:dyDescent="0.2">
      <c r="A1303" s="16"/>
      <c r="B1303" s="34"/>
      <c r="C1303" s="16"/>
      <c r="D1303" s="17"/>
      <c r="E1303" s="17"/>
      <c r="F1303" s="17"/>
      <c r="G1303" s="18"/>
      <c r="H1303" s="17"/>
      <c r="I1303" s="17"/>
      <c r="J1303" s="17"/>
    </row>
    <row r="1304" spans="1:10" x14ac:dyDescent="0.2">
      <c r="A1304" s="16"/>
      <c r="B1304" s="34"/>
      <c r="C1304" s="16"/>
      <c r="D1304" s="17"/>
      <c r="E1304" s="17"/>
      <c r="F1304" s="17"/>
      <c r="G1304" s="18"/>
      <c r="H1304" s="17"/>
      <c r="I1304" s="17"/>
      <c r="J1304" s="17"/>
    </row>
    <row r="1305" spans="1:10" x14ac:dyDescent="0.2">
      <c r="A1305" s="16"/>
      <c r="B1305" s="34"/>
      <c r="C1305" s="16"/>
      <c r="D1305" s="17"/>
      <c r="E1305" s="17"/>
      <c r="F1305" s="17"/>
      <c r="G1305" s="18"/>
      <c r="H1305" s="17"/>
      <c r="I1305" s="17"/>
      <c r="J1305" s="17"/>
    </row>
  </sheetData>
  <autoFilter ref="A1:J1166" xr:uid="{00000000-0009-0000-0000-000000000000}">
    <filterColumn colId="6" showButton="0"/>
    <sortState xmlns:xlrd2="http://schemas.microsoft.com/office/spreadsheetml/2017/richdata2" ref="A2:J1113">
      <sortCondition ref="A2:A1113"/>
    </sortState>
  </autoFilter>
  <phoneticPr fontId="9" type="noConversion"/>
  <pageMargins left="0.23622047244094491" right="0.19685039370078741" top="0.74803149606299213" bottom="0.55118110236220474" header="0.31496062992125984" footer="0.31496062992125984"/>
  <pageSetup paperSize="9" orientation="landscape" r:id="rId1"/>
  <headerFooter>
    <oddHeader xml:space="preserve">&amp;C&amp;"-,Fett"&amp;14Aufträge für Instandhaltung 2018 - 2020
</oddHeader>
    <oddFooter>&amp;L&amp;8AS = Andreas Stachon, ST= Stephan Schnitzler&amp;C&amp;9Seite &amp;P von &amp;N&amp;R&amp;9Druck: &amp;D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E5A91D3B3691A40A5E212991422B6D0" ma:contentTypeVersion="8" ma:contentTypeDescription="Ein neues Dokument erstellen." ma:contentTypeScope="" ma:versionID="67e51931359d61ccb87c1af3a58d195e">
  <xsd:schema xmlns:xsd="http://www.w3.org/2001/XMLSchema" xmlns:xs="http://www.w3.org/2001/XMLSchema" xmlns:p="http://schemas.microsoft.com/office/2006/metadata/properties" xmlns:ns2="5f4af590-d33f-496c-90de-87b35b31cc39" targetNamespace="http://schemas.microsoft.com/office/2006/metadata/properties" ma:root="true" ma:fieldsID="4a520e6f9e879b3c8e740d106c775a98" ns2:_="">
    <xsd:import namespace="5f4af590-d33f-496c-90de-87b35b31cc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4af590-d33f-496c-90de-87b35b31cc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9A1AA54-08A0-416B-882E-168A51C80E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ABB00EF-D851-4B31-8466-806766C3E04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80473D-D75F-449A-86CE-0245166921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4af590-d33f-496c-90de-87b35b31cc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Kopie</vt:lpstr>
      <vt:lpstr>Tabelle2</vt:lpstr>
      <vt:lpstr>Objekt Aufstellung</vt:lpstr>
      <vt:lpstr>Auftrag Intern</vt:lpstr>
      <vt:lpstr>Auftrag Extern</vt:lpstr>
      <vt:lpstr>Kalender</vt:lpstr>
      <vt:lpstr>Aufträge 2018-2020</vt:lpstr>
      <vt:lpstr>'Auftrag Extern'!Print_Area</vt:lpstr>
      <vt:lpstr>'Auftrag Intern'!Print_Area</vt:lpstr>
      <vt:lpstr>'Aufträge 2018-2020'!Print_Area</vt:lpstr>
      <vt:lpstr>Kopie!Print_Area</vt:lpstr>
      <vt:lpstr>'Aufträge 2018-2020'!Print_Titles</vt:lpstr>
      <vt:lpstr>Kopie!Print_Titles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Scheulen, Hermann</dc:creator>
  <cp:keywords/>
  <dc:description/>
  <cp:lastModifiedBy>Loechner, Moritz</cp:lastModifiedBy>
  <cp:revision/>
  <cp:lastPrinted>2020-10-09T06:10:34Z</cp:lastPrinted>
  <dcterms:created xsi:type="dcterms:W3CDTF">2012-10-25T09:06:13Z</dcterms:created>
  <dcterms:modified xsi:type="dcterms:W3CDTF">2020-10-12T18:06:01Z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0x010100BE5A91D3B3691A40A5E212991422B6D0</vt:lpwstr>
  </property>
</Properties>
</file>